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mc:AlternateContent xmlns:mc="http://schemas.openxmlformats.org/markup-compatibility/2006">
    <mc:Choice Requires="x15">
      <x15ac:absPath xmlns:x15ac="http://schemas.microsoft.com/office/spreadsheetml/2010/11/ac" url="C:\Users\dioni\Desktop\phd\D_Navio\WP5\verified_new_template\"/>
    </mc:Choice>
  </mc:AlternateContent>
  <xr:revisionPtr revIDLastSave="0" documentId="13_ncr:1_{B8CF3A15-FDFC-4F4E-8422-107F9DF9B34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MD FM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4" i="1" l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<sst xmlns="http://schemas.openxmlformats.org/spreadsheetml/2006/main" count="377" uniqueCount="295">
  <si>
    <t>FM ID</t>
  </si>
  <si>
    <t>FM Class</t>
  </si>
  <si>
    <t>Failure Mode (FM)</t>
  </si>
  <si>
    <t>Potential Causes &amp; Mechanism(s) of the FM</t>
  </si>
  <si>
    <t>Potential Technical Effects of the FM</t>
  </si>
  <si>
    <t>Potential Consequences of the FM</t>
  </si>
  <si>
    <t>Severity (1-10)</t>
  </si>
  <si>
    <t>Probability (1-10)</t>
  </si>
  <si>
    <t>RPN (S x P)</t>
  </si>
  <si>
    <t>Detective Controls</t>
  </si>
  <si>
    <t>Preventive Controls</t>
  </si>
  <si>
    <t>Responsibility</t>
  </si>
  <si>
    <t>Source</t>
  </si>
  <si>
    <t>Link</t>
  </si>
  <si>
    <t>OMD-S01</t>
  </si>
  <si>
    <t>Data/Input Failure</t>
  </si>
  <si>
    <t>Optical Measuring Track / Sensor Contamination</t>
  </si>
  <si>
    <t>Oil deposits, smoke residue, splash oil ingress, dirt or degraded compressed air contaminate the measuring head optical path.</t>
  </si>
  <si>
    <t>Reduced optical accuracy, false oil-mist alarms, or failure/fault state preventing reliable crankcase monitoring.</t>
  </si>
  <si>
    <t>Unnecessary engine slow-down/shutdown or delayed warning of a developing crankcase hot spot.</t>
  </si>
  <si>
    <t>OMD fault code, optical obscuration/self-monitoring fault, abnormal measured value, inspection of measuring head and intake path.</t>
  </si>
  <si>
    <t>Maintain clean compressed air quality, clean measuring head and suction path according to OEM procedure, prevent splash-oil ingress through correct suction funnel/drain arrangement.</t>
  </si>
  <si>
    <t>Chief Engineer (+ OEM/Manufacturer)</t>
  </si>
  <si>
    <t>Schaller VISATRON VN2020 Operating Manual; IACS UR M67</t>
  </si>
  <si>
    <t>https://www.epp.no/wp-content/uploads/2020/09/Schaller_manual_VN2020_EN.pdf
https://www.classnk.or.jp/hp/pdf/info_service/iacs_ur_and_ui/ur_m67_rev.3_aug_2025_ul.pdf</t>
  </si>
  <si>
    <t>OMD-S02</t>
  </si>
  <si>
    <t>Optical Sensor Fault / Unreliable Oil-Mist Measurement</t>
  </si>
  <si>
    <t>Optical sensor fault, infrared filter contamination, measuring-head fault, or internal diagnostic failure affects the optical measurement channel.</t>
  </si>
  <si>
    <t>The detector may enter fault state, report unreliable opacity/oil-mist indication, or require cleaning/replacement of the measuring head.</t>
  </si>
  <si>
    <t>Loss of reliable crankcase oil-mist monitoring for the affected detector and possible nuisance alarm/fault response.</t>
  </si>
  <si>
    <t>Optical sensor fault code, optical-sensor-dirty warning, LED/fault-code display, smoke/function test, inspection and cleaning of the infrared filter.</t>
  </si>
  <si>
    <t>Clean the infrared filter/light path according to the OEM maintenance interval; replace the measuring head if the optical sensor fault persists.</t>
  </si>
  <si>
    <t>Schaller VISATRON VN2020 Operating Manual</t>
  </si>
  <si>
    <t>https://www.epp.no/wp-content/uploads/2020/09/Schaller_manual_VN2020_EN.pdf</t>
  </si>
  <si>
    <t>OMD-S03</t>
  </si>
  <si>
    <t>Supply / Suction Pressure Measurement Fault</t>
  </si>
  <si>
    <t>Airflow sensor fault, pressure regulator misadjustment, insufficient compressed-air supply, blocked venturi path, or crankcase-pressure influence on suction-pressure adjustment.</t>
  </si>
  <si>
    <t>Air sample is not drawn correctly through the detector; oil mist concentration at the sensor may not represent the crankcase atmosphere.</t>
  </si>
  <si>
    <t>Delayed or missed alarm for a crankcase hot spot; nuisance fault alarms and OMD unavailability.</t>
  </si>
  <si>
    <t>Supply-pressure or airflow fault code, low suction/negative-pressure check with manometer, pressure regulator check.</t>
  </si>
  <si>
    <t>Maintain compressed-air supply quality and pressure; adjust suction pressure only under OEM-specified conditions; inspect pressure regulator, venturi, and air lines.</t>
  </si>
  <si>
    <t>Schaller VISATRON VN2020 Operating Manual; IACS UR M10</t>
  </si>
  <si>
    <t>https://www.epp.no/wp-content/uploads/2020/09/Schaller_manual_VN2020_EN.pdf
https://www.classnk.or.jp/hp/pdf/info_service/iacs_ur_and_ui/ur_m10_rev.5_nov_2024_ul.pdf</t>
  </si>
  <si>
    <t>OMD-S04</t>
  </si>
  <si>
    <t>Sampling Pipe / Suction Funnel Blockage or Leakage</t>
  </si>
  <si>
    <t>Suction funnel, sample pipe, header pipe, drain/siphon, or connection fitting is blocked, leaking, cracked, incorrectly assembled, or contaminated by oil deposits.</t>
  </si>
  <si>
    <t>The detector receives too little or non-representative crankcase atmosphere from one or more measurement points.</t>
  </si>
  <si>
    <t>Oil mist from a local bearing or cylinder hot spot may not reach the detector quickly enough.</t>
  </si>
  <si>
    <t>Low suction pressure, channel-specific low reading, sample-line inspection, leak test, drainage inspection.</t>
  </si>
  <si>
    <t>Install according to approved drawing; clean suction lines and funnels; maintain drain/siphon components; inspect fittings after overhaul.</t>
  </si>
  <si>
    <t>Schaller VISATRON VN2020 Operating Manual; Graviner Mk6 OMD Manual</t>
  </si>
  <si>
    <t>https://www.epp.no/wp-content/uploads/2020/09/Schaller_manual_VN2020_EN.pdf
https://pim.firesecurityproducts.com/sites/default/files/1-59812-k001_mk6_manual_rev_10.pdf</t>
  </si>
  <si>
    <t>OMD-S05</t>
  </si>
  <si>
    <t>Detector Address / Channel Mapping Error</t>
  </si>
  <si>
    <t>Incorrect detector address, wrong engine/cylinder configuration, swapped cable, or wrong mapping between detector and control-panel display.</t>
  </si>
  <si>
    <t>Oil-mist alarm is assigned to the wrong crankcase/cylinder/engine location.</t>
  </si>
  <si>
    <t>Maintenance crew may inspect the wrong crankcase location, delaying response to a developing hot spot.</t>
  </si>
  <si>
    <t>Commissioning test by channel, detector address check, comparison of physical detector location with panel indication.</t>
  </si>
  <si>
    <t>Maintain approved detector list and wiring schedule; verify channel mapping after detector replacement or maintenance.</t>
  </si>
  <si>
    <t>Graviner Mk6 OMD Manual; Schaller VISATRON VN2020 Operating Manual</t>
  </si>
  <si>
    <t>https://pim.firesecurityproducts.com/sites/default/files/1-59812-k001_mk6_manual_rev_10.pdf
https://www.epp.no/wp-content/uploads/2020/09/Schaller_manual_VN2020_EN.pdf</t>
  </si>
  <si>
    <t>OMD-S06</t>
  </si>
  <si>
    <t>Oil Mist Alarm Setpoint / Sensitivity Misconfiguration</t>
  </si>
  <si>
    <t>Incorrect calibration, wrong sensitivity setting, unsuitable alarm threshold, or unapproved change to the alarm setpoint.</t>
  </si>
  <si>
    <t>The detector alarms too late, too early, or outside type-approved setpoint behavior.</t>
  </si>
  <si>
    <t>Delayed protection against crankcase explosion or frequent nuisance alarms leading to alarm fatigue.</t>
  </si>
  <si>
    <t>Alarm setpoint verification, functional test with approved test method, review of device parameters and type-approval settings.</t>
  </si>
  <si>
    <t>Use OEM/type-approved parameters; restrict setpoint access; perform periodic functional testing and calibration checks.</t>
  </si>
  <si>
    <t>Chief Engineer (+ OEM/Manufacturer/Class)</t>
  </si>
  <si>
    <t>IACS UR M67; Schaller VISATRON VN2020 Operating Manual</t>
  </si>
  <si>
    <t>https://www.classnk.or.jp/hp/pdf/info_service/iacs_ur_and_ui/ur_m67_rev.3_aug_2025_ul.pdf
https://www.epp.no/wp-content/uploads/2020/09/Schaller_manual_VN2020_EN.pdf</t>
  </si>
  <si>
    <t>OMD-S07</t>
  </si>
  <si>
    <t>Fault Detection / Self-Monitoring Not Reporting Detector Failure</t>
  </si>
  <si>
    <t>Internal diagnostic, sensor electronics, or fault relay fails to identify and communicate detector malfunction.</t>
  </si>
  <si>
    <t>The OMD appears healthy while detector functionality is degraded.</t>
  </si>
  <si>
    <t>False sense of protection; delayed detection of oil mist under an actual crankcase fault.</t>
  </si>
  <si>
    <t>Periodic functional test, fault relay test, self-test/error-code review, inspection of alarm panel status.</t>
  </si>
  <si>
    <t>Follow OEM maintenance schedule; test fault outputs and alarm paths after maintenance; replace faulty electronic modules.</t>
  </si>
  <si>
    <t>OMD-N01</t>
  </si>
  <si>
    <t>Communication Failure</t>
  </si>
  <si>
    <t>Detector-to-Control Panel Communication Loss</t>
  </si>
  <si>
    <t>Serial data link, bus line, junction box, connector, detector address, or control-panel communication failure.</t>
  </si>
  <si>
    <t>Oil-mist level and detector status from one or more detectors are not available at the control panel.</t>
  </si>
  <si>
    <t>Loss of remote monitoring for one engine/cylinder group; alarm may not be displayed or localized correctly.</t>
  </si>
  <si>
    <t>Communication error, missing detector status, bus diagnostics, continuity/insulation test, junction-box inspection.</t>
  </si>
  <si>
    <t>Maintain cables and junction boxes; protect connectors from vibration/oil ingress; verify communication after detector replacement.</t>
  </si>
  <si>
    <t>ETO/Automation Engineer (+ OEM/Manufacturer)</t>
  </si>
  <si>
    <t>OMD-N02</t>
  </si>
  <si>
    <t>OMD Remote Alarm / AMS Interface Failure</t>
  </si>
  <si>
    <t>Alarm relay wiring, remote indicator, engine-control-system input, or AMS interface fails open/short or is incorrectly configured.</t>
  </si>
  <si>
    <t>Local OMD alarm may occur but is not transmitted to the engine control room, AMS, bridge alarm system, or shutdown/slowdown logic.</t>
  </si>
  <si>
    <t>Delayed crew response and loss of required machinery-safety action.</t>
  </si>
  <si>
    <t>Relay output test, remote alarm test, AMS event check, comparison of local OMD alarm and remote indication.</t>
  </si>
  <si>
    <t>Test remote alarm circuits during drills and maintenance; keep wiring diagrams current; maintain relay contacts and interface modules.</t>
  </si>
  <si>
    <t>ETO/Automation Engineer (+ Chief Engineer)</t>
  </si>
  <si>
    <t>Graviner Mk6 OMD Manual; Schaller VISATRON VN2020 Operating Manual; IACS UR M10</t>
  </si>
  <si>
    <t>https://pim.firesecurityproducts.com/sites/default/files/1-59812-k001_mk6_manual_rev_10.pdf
https://www.epp.no/wp-content/uploads/2020/09/Schaller_manual_VN2020_EN.pdf
https://www.classnk.or.jp/hp/pdf/info_service/iacs_ur_and_ui/ur_m10_rev.5_nov_2024_ul.pdf</t>
  </si>
  <si>
    <t>OMD-N03</t>
  </si>
  <si>
    <t>Remote Monitoring Bus / CANopen Initialization Failure</t>
  </si>
  <si>
    <t>RS485/CANopen/Modbus bus-line fault, missing or wrong termination, damaged cable, incorrect customer bus connection, or CANopen initialization failure.</t>
  </si>
  <si>
    <t>Oil-mist concentration and OMD status may not be available at the remote indicator or automation/monitoring system.</t>
  </si>
  <si>
    <t>Reduced remote awareness of crankcase protection state and possible delay in crew response if the local OMD alarm is not noticed promptly.</t>
  </si>
  <si>
    <t>Remote indicator/automation-system communication fault, CANopen initialization error, missing remote status, bus-line continuity and termination check.</t>
  </si>
  <si>
    <t>Install the bus line according to the OEM connection data; verify RS485 termination; test remote monitoring after installation, maintenance, or detector replacement.</t>
  </si>
  <si>
    <t>OMD-L01</t>
  </si>
  <si>
    <t>Software Anomaly</t>
  </si>
  <si>
    <t>Alarm / Slowdown / Shutdown Logic Does Not Actuate</t>
  </si>
  <si>
    <t>Control-panel logic, relay configuration, engine safety system interface, or safety action mapping is wrong or disabled.</t>
  </si>
  <si>
    <t>Oil-mist alarm is detected but the required alarm, slow-down, or automatic shutoff action is not performed.</t>
  </si>
  <si>
    <t>Continued operation under crankcase hot-spot conditions may increase explosion risk.</t>
  </si>
  <si>
    <t>Functional trip test, alarm relay test, slow-down/shutdown simulation, safety-system cause-and-effect verification.</t>
  </si>
  <si>
    <t>Maintain approved cause-and-effect matrix; test OMD safety actions after maintenance or software changes.</t>
  </si>
  <si>
    <t>Chief Engineer/ETO (+ Class)</t>
  </si>
  <si>
    <t>IACS UR M10; Graviner Mk6 OMD Manual; Schaller VISATRON VN2020 Operating Manual</t>
  </si>
  <si>
    <t>https://www.classnk.or.jp/hp/pdf/info_service/iacs_ur_and_ui/ur_m10_rev.5_nov_2024_ul.pdf
https://pim.firesecurityproducts.com/sites/default/files/1-59812-k001_mk6_manual_rev_10.pdf
https://www.epp.no/wp-content/uploads/2020/09/Schaller_manual_VN2020_EN.pdf</t>
  </si>
  <si>
    <t>OMD-L02</t>
  </si>
  <si>
    <t>Delayed Alarm Activation / Response-Time Nonconformity</t>
  </si>
  <si>
    <t>Excessive sample-line delay, blocked or incorrect piping, inappropriate filtering/software behavior, or unapproved configuration causes delayed alarm output.</t>
  </si>
  <si>
    <t>Oil-mist alarm activation is later than the type-approved response-time behavior.</t>
  </si>
  <si>
    <t>Reduced time for operators or automatic systems to prevent crankcase explosion.</t>
  </si>
  <si>
    <t>Response-time functional test, sample-line inspection, event-log review, comparison with type-approved settings.</t>
  </si>
  <si>
    <t>Keep OEM-approved software and parameters; verify alarm response time during commissioning and periodic testing.</t>
  </si>
  <si>
    <t>OMD-L03</t>
  </si>
  <si>
    <t>Improper Alarm Reset / Recommissioning Before Safe Condition Verified</t>
  </si>
  <si>
    <t>Alarm reset is performed before confirming that high oil-mist concentration has cleared, or post-test/maintenance return-to-service checks are not completed.</t>
  </si>
  <si>
    <t>Alarm status may be cleared while the underlying crankcase condition or test/maintenance state has not been properly resolved.</t>
  </si>
  <si>
    <t>Crew may regain a false sense of safe operation and delay investigation of a developing crankcase fault.</t>
  </si>
  <si>
    <t>Alarm-reset event, LED/oil-mist level indication, recommissioning checklist, post-maintenance smoke/function test, verification that alarm and ready signals are connected.</t>
  </si>
  <si>
    <t>Reset only after confirming no high oil mist remains; complete commissioning/recommissioning checklist and functional smoke test before return to service.</t>
  </si>
  <si>
    <t>Chief Engineer/OOW</t>
  </si>
  <si>
    <t>OMD-L04</t>
  </si>
  <si>
    <t>Wrong Detector-to-Engine Safety Action Mapping</t>
  </si>
  <si>
    <t>Software configuration maps a detector channel to the wrong engine, wrong cylinder bank, or wrong shutdown/slowdown output.</t>
  </si>
  <si>
    <t>Alarm localization and automatic safety response do not correspond to the actual fault location.</t>
  </si>
  <si>
    <t>Wrong engine may be slowed or the affected engine may continue operating.</t>
  </si>
  <si>
    <t>Cause-and-effect test by channel, alarm matrix review, detector address/location check.</t>
  </si>
  <si>
    <t>Verify mapping after commissioning, retrofit, replacement or software update; keep approved engine-specific drawings.</t>
  </si>
  <si>
    <t>Chief Engineer/ETO (+ OEM/Manufacturer)</t>
  </si>
  <si>
    <t>OMD-A01</t>
  </si>
  <si>
    <t>Actuation/Interface Failure</t>
  </si>
  <si>
    <t>Alarm Relay Contact Stuck / Failed</t>
  </si>
  <si>
    <t>Relay contact wear, coil failure, wiring fault, corrosion or incorrect relay configuration prevents normal alarm output.</t>
  </si>
  <si>
    <t>OMD alarm or fault state is not transmitted reliably to connected systems.</t>
  </si>
  <si>
    <t>Remote warning, slowdown, shutdown, or backup alarm may fail.</t>
  </si>
  <si>
    <t>Relay output test, continuity test, alarm-loop test, comparison of local and remote alarms.</t>
  </si>
  <si>
    <t>Periodic relay testing; protect terminal boxes from moisture/oil; replace relays at OEM interval or on fault.</t>
  </si>
  <si>
    <t>ETO/Automation Engineer</t>
  </si>
  <si>
    <t>OMD-A02</t>
  </si>
  <si>
    <t>Engine Slowdown / Shutdown Interface Wiring Failure</t>
  </si>
  <si>
    <t>Broken wire, wrong terminal, failed output module, bypassed interlock, or control-system input fault between OMD and engine safety system.</t>
  </si>
  <si>
    <t>OMD detects oil mist but engine protection action is not executed.</t>
  </si>
  <si>
    <t>Engine may continue running while crankcase explosion conditions develop.</t>
  </si>
  <si>
    <t>End-to-end trip test, continuity and insulation test, engine safety-system event log.</t>
  </si>
  <si>
    <t>Maintain wiring diagrams; perform periodic safety-loop proof tests; control modifications under management of change.</t>
  </si>
  <si>
    <t>Chief Engineer/ETO</t>
  </si>
  <si>
    <t>IACS UR M10; Schaller VISATRON VN2020 Operating Manual</t>
  </si>
  <si>
    <t>https://www.classnk.or.jp/hp/pdf/info_service/iacs_ur_and_ui/ur_m10_rev.5_nov_2024_ul.pdf
https://www.epp.no/wp-content/uploads/2020/09/Schaller_manual_VN2020_EN.pdf</t>
  </si>
  <si>
    <t>OMD-A03</t>
  </si>
  <si>
    <t>Compressed-Air Regulator / Venturi Aspirator Malfunction</t>
  </si>
  <si>
    <t>Regulator misadjustment, air-jet pump/venturi blockage, poor air quality, water/oil in compressed air, or low supply pressure.</t>
  </si>
  <si>
    <t>Insufficient suction through the measuring head and sampling system.</t>
  </si>
  <si>
    <t>Representative oil mist detection is degraded or unavailable.</t>
  </si>
  <si>
    <t>Suction pressure check, supply-pressure fault code, compressed-air quality inspection.</t>
  </si>
  <si>
    <t>Maintain compressed-air supply to specified quality; inspect/regulate pressure; clean or replace aspirator components.</t>
  </si>
  <si>
    <t>OMD-A04</t>
  </si>
  <si>
    <t>Valve Box / Search-Run Localization Failure</t>
  </si>
  <si>
    <t>Valve-box sealing, suction-channel bellows, rubber plugs, oil-drain sealing or valve-box connection components are damaged, misassembled, blocked or leaking in OMD designs that use a valve box for alarm localization.</t>
  </si>
  <si>
    <t>The OMD may still detect oil mist, but the search run/localization function may identify the wrong engine side or compartment, or fail to localize the highest oil-mist concentration reliably.</t>
  </si>
  <si>
    <t>Crew may inspect the wrong crankcase area after an alarm, increasing response time and maintenance risk.</t>
  </si>
  <si>
    <t>Alarm search-run test with smoke/fog at sampling points; valve-box inspection; suction-pressure and leakage checks; comparison of indicated location with test location.</t>
  </si>
  <si>
    <t>Maintain valve-box gaskets, suction-channel seals, bellows, rubber plugs and drain seals; test localization after service; follow OEM installation and service-kit procedures.</t>
  </si>
  <si>
    <t>Schaller VISATRON VN87plus Operating Manual</t>
  </si>
  <si>
    <t>https://schaller-automation.com/en/wp-content/uploads/sites/2/2018/10/Manual_VN87plus_V2.6-English.pdf</t>
  </si>
  <si>
    <t>OMD-P01</t>
  </si>
  <si>
    <t>Process/Mechanical Failure</t>
  </si>
  <si>
    <t>Actual Crankcase Oil Mist From Bearing Hot Spot</t>
  </si>
  <si>
    <t>Overheated main/connecting-rod bearing, insufficient lubrication, misalignment, seizure onset, or frictional hot surface vaporizes lubricating oil.</t>
  </si>
  <si>
    <t>Rapid increase in oil mist concentration in crankcase.</t>
  </si>
  <si>
    <t>Crankcase explosion risk, machinery damage, injury or loss of propulsion/power.</t>
  </si>
  <si>
    <t>OMD oil mist alarm, bearing temperature/oil pressure anomalies, vibration/noise, post-stop inspection after safe cooling period.</t>
  </si>
  <si>
    <t>Maintain lubrication and bearing condition; investigate early bearing-temperature/vibration trends; follow OMD alarm response procedures.</t>
  </si>
  <si>
    <t>Chief Engineer</t>
  </si>
  <si>
    <t>OMD-P02</t>
  </si>
  <si>
    <t>Spray Oil / Splash Oil Ingress Causing False Alarm</t>
  </si>
  <si>
    <t>Suction funnel omitted, wrongly installed, damaged or unsuitable; oil splash enters suction line and measuring head.</t>
  </si>
  <si>
    <t>False high oil mist measurement, contamination of measuring head, or premature fault/alarm.</t>
  </si>
  <si>
    <t>Nuisance shutdown/slowdown; reduced confidence in OMD alarms.</t>
  </si>
  <si>
    <t>Inspection of suction funnels and suction lines, repeated alarms linked to engine speed/load, measuring-head contamination.</t>
  </si>
  <si>
    <t>Install suction funnels as specified; maintain drainage concept; follow approved installation drawings.</t>
  </si>
  <si>
    <t>OMD-P03</t>
  </si>
  <si>
    <t>Forced Extraction / Crankcase Pressure Interference</t>
  </si>
  <si>
    <t>Forced extraction, ventilation, or abnormal crankcase pressure/vacuum affects the oil-mist sampling and measurement conditions.</t>
  </si>
  <si>
    <t>OMD suction/measurement may become unreliable or non-representative if crankcase pressure influences the detection arrangement.</t>
  </si>
  <si>
    <t>Oil mist alarm may be delayed or inaccurate during developing crankcase fault.</t>
  </si>
  <si>
    <t>Crankcase pressure/vacuum monitoring, OMD suction-pressure checks, ventilation-system status and failure alarms.</t>
  </si>
  <si>
    <t>Ensure forced extraction vacuum limits; monitor ventilation failure; follow engine-maker safety concept.</t>
  </si>
  <si>
    <t>Chief Engineer (+ Engine Maker)</t>
  </si>
  <si>
    <t>OMD-P04</t>
  </si>
  <si>
    <t>Incorrect Installation Geometry / Unapproved Installation Drawing</t>
  </si>
  <si>
    <t>Detector, suction funnel, header pipe, drain, exhaust-air pipe or bracket is installed differently from OEM/engine-maker approved drawing.</t>
  </si>
  <si>
    <t>Sampling response time, drainage, splash-oil protection, or alarm localization is degraded.</t>
  </si>
  <si>
    <t>Reduced effectiveness of crankcase explosion protection and possible class non-compliance.</t>
  </si>
  <si>
    <t>Installation audit, approved drawing comparison, functional test, inspection after retrofit/overhaul.</t>
  </si>
  <si>
    <t>Use only OEM/engine-maker approved installation drawings; verify components and routing during commissioning.</t>
  </si>
  <si>
    <t>OMD-P05</t>
  </si>
  <si>
    <t>Oil Drain / Siphon Blockage in OMD Sampling System</t>
  </si>
  <si>
    <t>Oil condensate or sludge accumulates in suction/header lines because drainage components, canister siphon or drain path is blocked.</t>
  </si>
  <si>
    <t>Oil carryover contaminates the measuring head or restricts sample flow.</t>
  </si>
  <si>
    <t>False alarms, delayed detection, and increased maintenance demand.</t>
  </si>
  <si>
    <t>Visual inspection of drain/siphon, suction-pressure deviation, repeated contamination of measuring head.</t>
  </si>
  <si>
    <t>Maintain drainage components; clean sample lines; ensure correct routing and inclination.</t>
  </si>
  <si>
    <t>OMD-H01</t>
  </si>
  <si>
    <t>Hardware Failure</t>
  </si>
  <si>
    <t>Electronic Module / Measuring-Head Internal Fault</t>
  </si>
  <si>
    <t>Electronic module fault, internal error, checksum error, temperature-related electronics fault, component ageing, vibration, heat exposure, moisture ingress, or measuring-head failure.</t>
  </si>
  <si>
    <t>Detector enters fault state or provides unreliable oil-mist measurement/status.</t>
  </si>
  <si>
    <t>Loss of crankcase monitoring for the affected measurement point or engine and need for corrective maintenance.</t>
  </si>
  <si>
    <t>Electronic-module fault code, internal-error code, checksum-error code, electronics-temperature fault, self-diagnostic display, replacement test.</t>
  </si>
  <si>
    <t>Maintain environmental protection and OEM service intervals; replace the measuring head/electronic module when specified by troubleshooting guidance.</t>
  </si>
  <si>
    <t>OMD-H02</t>
  </si>
  <si>
    <t>Supply Voltage / Power Supply Failure</t>
  </si>
  <si>
    <t>Loss of electrical supply, blown fuse, unstable supply voltage, damaged power cable, or terminal fault.</t>
  </si>
  <si>
    <t>OMD detector or control panel is off, in fault, or unable to transmit alarms.</t>
  </si>
  <si>
    <t>Loss of crankcase protection and remote alarm capability.</t>
  </si>
  <si>
    <t>No LEDs/panel off, supply-voltage fault code, voltage check, fuse and terminal inspection.</t>
  </si>
  <si>
    <t>Maintain UPS/essential supply where applicable; inspect terminals; test power-failure alarms.</t>
  </si>
  <si>
    <t>ETO/Chief Engineer</t>
  </si>
  <si>
    <t>OMD-H03</t>
  </si>
  <si>
    <t>Detector Fan Failure</t>
  </si>
  <si>
    <t>Fan motor failure, blockage, wear, contamination or electrical fault in detector-mounted fan-type OMD.</t>
  </si>
  <si>
    <t>Air from crankspace is not drawn through detector sample chamber at the intended rate.</t>
  </si>
  <si>
    <t>Delayed or missed detection of oil mist at affected detector.</t>
  </si>
  <si>
    <t>Fan fault, airflow check, detector self-test, inspection of detector inlet/outlet.</t>
  </si>
  <si>
    <t>Maintain detector fan and sample chamber; replace faulty detector head; perform airflow/functional checks.</t>
  </si>
  <si>
    <t>Graviner Mk6 OMD Manual</t>
  </si>
  <si>
    <t>https://pim.firesecurityproducts.com/sites/default/files/1-59812-k001_mk6_manual_rev_10.pdf</t>
  </si>
  <si>
    <t>OMD-H04</t>
  </si>
  <si>
    <t>Junction Box / Connector / Cable Damage</t>
  </si>
  <si>
    <t>Vibration, oil ingress, heat, loose terminals, damaged connector, insulation degradation, cable-gland leak, or terminal-box/connection-box seal fault.</t>
  </si>
  <si>
    <t>Intermittent or complete power, communication, or signal failure to the detector.</t>
  </si>
  <si>
    <t>Unreliable OMD status/alarm transmission and detector dropouts.</t>
  </si>
  <si>
    <t>Cable continuity and insulation test, connector inspection, terminal-box/connection-box inspection, intermittent communication fault review.</t>
  </si>
  <si>
    <t>Secure and protect cables; maintain junction boxes, terminal boxes, cable glands and seals; inspect after overhaul or detector replacement.</t>
  </si>
  <si>
    <t>OMD-H05</t>
  </si>
  <si>
    <t>Explosion Protection / Alternative-Fuel Variant Misapplication</t>
  </si>
  <si>
    <t>Incorrect Ex/non-Ex variant selection, damaged protective enclosure, unapproved repair, or unverified detector suitability for gas/dual-fuel crankcase atmospheres.</t>
  </si>
  <si>
    <t>Detector may not provide required explosion-protection or material-compatibility characteristics in hazardous crankcase or gas/dual-fuel service.</t>
  </si>
  <si>
    <t>Personnel safety and class compliance risk in explosive atmosphere.</t>
  </si>
  <si>
    <t>Nameplate/variant check, class/ATEX certificate review, inspection after repair, installation audit.</t>
  </si>
  <si>
    <t>Use the approved Ex/alternative-fuel-suitable variant where required; follow OEM repair restrictions; keep class/type-approval documentation.</t>
  </si>
  <si>
    <t>OMD-H06</t>
  </si>
  <si>
    <t>Control Panel / Display Failure</t>
  </si>
  <si>
    <t>Panel electronics, display, keypad, power supply, or enclosure fault prevents alarm visualization and system operation.</t>
  </si>
  <si>
    <t>Operators cannot view detector status, fault code, oil-mist alarm location, or acknowledge/reset properly.</t>
  </si>
  <si>
    <t>Delayed response to crankcase alarm and reduced maintainability.</t>
  </si>
  <si>
    <t>Panel self-diagnostic, no display/LEDs, alarm test, remote indicator comparison.</t>
  </si>
  <si>
    <t>Maintain panel power and environment; test displays/indicators; keep remote alarm backup functional.</t>
  </si>
  <si>
    <t>OMD-C01</t>
  </si>
  <si>
    <t>Cyber Security Threat</t>
  </si>
  <si>
    <t>Unauthorized Alarm Threshold / Parameter Manipulation</t>
  </si>
  <si>
    <t>Unauthorized access to OMD configuration or connected automation system changes alarm threshold, delay, channel enable/disable, or safety-action parameters.</t>
  </si>
  <si>
    <t>Oil mist alarm may be delayed, suppressed, or made overly sensitive.</t>
  </si>
  <si>
    <t>Increased crankcase-explosion risk or nuisance shutdowns; loss of trust in safety system.</t>
  </si>
  <si>
    <t>Configuration audit, parameter-change log, access-control review, alarm setpoint test.</t>
  </si>
  <si>
    <t>Restrict engineering access; manage changes; apply cyber hardening for onboard OT systems.</t>
  </si>
  <si>
    <t>Owner/Operator (+ Chief Engineer/ETO)</t>
  </si>
  <si>
    <t>IMO MSC-FAL.1/Circ.3/Rev.3; IACS UR E27; IACS UR M67</t>
  </si>
  <si>
    <t>https://wwwcdn.imo.org/localresources/en/OurWork/Security/Documents/MSC-FAL.1-Circ.3-Rev.3.pdf
https://www.classnk.or.jp/hp/pdf/info_service/iacs_ur_and_ui/ur_e27_rev.1_sep_2023_cln.pdf
https://www.classnk.or.jp/hp/pdf/info_service/iacs_ur_and_ui/ur_m67_rev.3_aug_2025_ul.pdf</t>
  </si>
  <si>
    <t>OMD-C02</t>
  </si>
  <si>
    <t>Remote Alarm / Safety Output Suppression via OT System</t>
  </si>
  <si>
    <t>Malicious or unauthorized modification of alarm routing, relay logic, AMS interface, or engine-safety cause-and-effect suppresses OMD alarm/slowdown/shutdown output.</t>
  </si>
  <si>
    <t>Local detection may occur but required safety action or remote alarm is not delivered.</t>
  </si>
  <si>
    <t>Crew may not respond in time and engine may continue operating under crankcase hot-spot conditions.</t>
  </si>
  <si>
    <t>Cyber/security event log, cause-and-effect proof test, comparison of local OMD and AMS/safety-system status.</t>
  </si>
  <si>
    <t>Protect OT network and engineering workstations; control software changes; periodically test safety outputs.</t>
  </si>
  <si>
    <t>IMO MSC-FAL.1/Circ.3/Rev.3; IACS UR E27; IACS UR M10</t>
  </si>
  <si>
    <t>https://wwwcdn.imo.org/localresources/en/OurWork/Security/Documents/MSC-FAL.1-Circ.3-Rev.3.pdf
https://www.classnk.or.jp/hp/pdf/info_service/iacs_ur_and_ui/ur_e27_rev.1_sep_2023_cln.pdf
https://www.classnk.or.jp/hp/pdf/info_service/iacs_ur_and_ui/ur_m10_rev.5_nov_2024_ul.pdf</t>
  </si>
  <si>
    <t>OMD-C03</t>
  </si>
  <si>
    <t>False Remote Status / Data-Integrity Failure</t>
  </si>
  <si>
    <t>Compromised communication, gateway, HMI, or data historian presents false normal status, wrong detector channel, or stale OMD value.</t>
  </si>
  <si>
    <t>Operators receive incorrect condition information while the local OMD state differs.</t>
  </si>
  <si>
    <t>Delayed response to real alarm or misdirected troubleshooting.</t>
  </si>
  <si>
    <t>Cross-check local panel with AMS/HMI, communication integrity monitoring, event timestamp review.</t>
  </si>
  <si>
    <t>Secure gateways and remote access; monitor data integrity; keep local independent alarm indication available.</t>
  </si>
  <si>
    <t>IMO MSC-FAL.1/Circ.3/Rev.3; IACS UR E27; Graviner Mk6 OMD Manual</t>
  </si>
  <si>
    <t>https://wwwcdn.imo.org/localresources/en/OurWork/Security/Documents/MSC-FAL.1-Circ.3-Rev.3.pdf
https://www.classnk.or.jp/hp/pdf/info_service/iacs_ur_and_ui/ur_e27_rev.1_sep_2023_cln.pdf
https://pim.firesecurityproducts.com/sites/default/files/1-59812-k001_mk6_manual_rev_10.pdf</t>
  </si>
  <si>
    <t>OMD-C04</t>
  </si>
  <si>
    <t>Unauthorized Alarm Reset / Unsafe Recommissioning via OT or Local Access</t>
  </si>
  <si>
    <t>Unauthorized access or unsafe return-to-service action resets the OMD alarm or connected safety interface before confirming that oil-mist concentration has cleared.</t>
  </si>
  <si>
    <t>Alarm status or safety response may be cleared while the hazardous crankcase condition is still present.</t>
  </si>
  <si>
    <t>False return to service and delayed investigation of an actual crankcase hot-spot or oil-mist event.</t>
  </si>
  <si>
    <t>Alarm-reset log, local LED/oil-mist level indication, remote status comparison, access-log review, post-reset functional test.</t>
  </si>
  <si>
    <t>Restrict reset/parameter access; require operator confirmation and return-to-service checklist; verify oil-mist concentration has cleared before reset.</t>
  </si>
  <si>
    <t>IMO MSC-FAL.1/Circ.3/Rev.3; IACS UR E27; Schaller VISATRON VN2020 Operating Manual</t>
  </si>
  <si>
    <t>https://wwwcdn.imo.org/localresources/en/OurWork/Security/Documents/MSC-FAL.1-Circ.3-Rev.3.pdf
https://www.classnk.or.jp/hp/pdf/info_service/iacs_ur_and_ui/ur_e27_rev.1_sep_2023_cln.pdf
https://www.epp.no/wp-content/uploads/2020/09/Schaller_manual_VN2020_EN.pdf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</si>
</sst>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</numFmts>
  <fonts count="5">
    <font>
      <sz val="10"/>
      <name val="Arial"/>
    </font>
    <font>
      <sz val="10"/>
      <name val="Arial"/>
    </font>
    <font>
      <sz val="11"/>
      <name val="Calibri"/>
    </font>
    <font>
      <b/>
      <sz val="11"/>
      <color rgb="FFFFFFFF"/>
      <name val="Calibri"/>
    </font>
    <font>
      <u/>
      <sz val="10"/>
      <color theme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167" fontId="1" fillId="0" borderId="0" applyBorder="0" applyAlignment="0" applyProtection="0"/>
    <xf numFmtId="165" fontId="1" fillId="0" borderId="0" applyBorder="0" applyAlignment="0" applyProtection="0"/>
    <xf numFmtId="166" fontId="1" fillId="0" borderId="0" applyBorder="0" applyAlignment="0" applyProtection="0"/>
    <xf numFmtId="164" fontId="1" fillId="0" borderId="0" applyBorder="0" applyAlignment="0" applyProtection="0"/>
    <xf numFmtId="9" fontId="1" fillId="0" borderId="0" applyBorder="0" applyAlignment="0" applyProtection="0"/>
    <xf numFmtId="0" fontId="2" fillId="0" borderId="0"/>
    <xf numFmtId="0" fontId="4" fillId="0" borderId="0" applyNumberFormat="0" applyFill="0" applyBorder="0" applyAlignment="0" applyProtection="0"/>
  </cellStyleXfs>
  <cellXfs count="5">
    <xf numFmtId="0" fontId="0" fillId="0" borderId="0" xfId="0"/>
    <xf numFmtId="0" fontId="3" fillId="2" borderId="0" xfId="0" applyFont="1" applyFill="1" applyAlignment="1">
      <alignment horizontal="center" vertical="top" wrapText="1"/>
    </xf>
    <xf numFmtId="0" fontId="2" fillId="0" borderId="0" xfId="0" applyFont="1" applyAlignment="1">
      <alignment vertical="top" wrapText="1"/>
    </xf>
    <xf numFmtId="1" fontId="2" fillId="0" borderId="0" xfId="0" applyNumberFormat="1" applyFont="1" applyAlignment="1">
      <alignment vertical="top" wrapText="1"/>
    </xf>
    <xf numFmtId="0" fontId="4" fillId="0" borderId="0" xfId="7" applyAlignment="1">
      <alignment vertical="top" wrapText="1"/>
    </xf>
  </cellXfs>
  <cellStyles count="8">
    <cellStyle name="Comma" xfId="1" xr:uid="{00000000-0005-0000-0000-000001000000}"/>
    <cellStyle name="Comma [0]" xfId="2" xr:uid="{00000000-0005-0000-0000-000002000000}"/>
    <cellStyle name="Currency" xfId="3" xr:uid="{00000000-0005-0000-0000-000003000000}"/>
    <cellStyle name="Currency [0]" xfId="4" xr:uid="{00000000-0005-0000-0000-000004000000}"/>
    <cellStyle name="Hyperlink" xfId="7" builtinId="8"/>
    <cellStyle name="Normal" xfId="0" builtinId="0"/>
    <cellStyle name="Normal 2" xfId="6" xr:uid="{00000000-0005-0000-0000-000006000000}"/>
    <cellStyle name="Percent" xfId="5" xr:uid="{00000000-0005-0000-0000-000005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MDFailureModes" displayName="OMDFailureModes" ref="A1:N34">
  <tableColumns count="14">
    <tableColumn id="1" xr3:uid="{00000000-0010-0000-0000-000001000000}" name="FM ID"/>
    <tableColumn id="2" xr3:uid="{00000000-0010-0000-0000-000002000000}" name="FM Class"/>
    <tableColumn id="3" xr3:uid="{00000000-0010-0000-0000-000003000000}" name="Failure Mode (FM)"/>
    <tableColumn id="4" xr3:uid="{00000000-0010-0000-0000-000004000000}" name="Potential Causes &amp; Mechanism(s) of the FM"/>
    <tableColumn id="5" xr3:uid="{00000000-0010-0000-0000-000005000000}" name="Potential Technical Effects of the FM"/>
    <tableColumn id="6" xr3:uid="{00000000-0010-0000-0000-000006000000}" name="Potential Consequences of the FM"/>
    <tableColumn id="7" xr3:uid="{00000000-0010-0000-0000-000007000000}" name="Severity (1-10)"/>
    <tableColumn id="8" xr3:uid="{00000000-0010-0000-0000-000008000000}" name="Probability (1-10)"/>
    <tableColumn id="9" xr3:uid="{00000000-0010-0000-0000-000009000000}" name="RPN (S x P)"/>
    <tableColumn id="10" xr3:uid="{00000000-0010-0000-0000-00000A000000}" name="Detective Controls"/>
    <tableColumn id="11" xr3:uid="{00000000-0010-0000-0000-00000B000000}" name="Preventive Controls"/>
    <tableColumn id="12" xr3:uid="{00000000-0010-0000-0000-00000C000000}" name="Responsibility"/>
    <tableColumn id="13" xr3:uid="{00000000-0010-0000-0000-00000D000000}" name="Source"/>
    <tableColumn id="14" xr3:uid="{00000000-0010-0000-0000-00000E000000}" name="Link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www.epp.no/wp-content/uploads/2020/09/Schaller_manual_VN2020_EN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"/>
  <sheetViews>
    <sheetView tabSelected="1" workbookViewId="0">
      <selection activeCell="D2" sqref="D2"/>
    </sheetView>
  </sheetViews>
  <sheetFormatPr defaultColWidth="8.7109375" defaultRowHeight="12.75"/>
  <cols>
    <col min="1" max="1" width="12" customWidth="1"/>
    <col min="2" max="2" width="24" customWidth="1"/>
    <col min="3" max="3" width="34" customWidth="1"/>
    <col min="4" max="4" width="48" customWidth="1"/>
    <col min="5" max="5" width="44" customWidth="1"/>
    <col min="6" max="6" width="42" customWidth="1"/>
    <col min="7" max="7" width="12" customWidth="1"/>
    <col min="8" max="8" width="13" customWidth="1"/>
    <col min="9" max="9" width="12" customWidth="1"/>
    <col min="10" max="11" width="42" customWidth="1"/>
    <col min="12" max="12" width="30" customWidth="1"/>
    <col min="13" max="13" width="38" customWidth="1"/>
    <col min="14" max="14" width="52" customWidth="1"/>
  </cols>
  <sheetData>
    <row r="1" spans="1:14" ht="3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66" customHeight="1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3">
        <v>8</v>
      </c>
      <c r="H2" s="3">
        <v>4</v>
      </c>
      <c r="I2" s="3">
        <f t="shared" ref="I2:I34" si="0">G2*H2</f>
        <v>32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</row>
    <row r="3" spans="1:14" ht="66" customHeight="1">
      <c r="A3" s="2" t="s">
        <v>25</v>
      </c>
      <c r="B3" s="2" t="s">
        <v>15</v>
      </c>
      <c r="C3" s="2" t="s">
        <v>26</v>
      </c>
      <c r="D3" s="2" t="s">
        <v>27</v>
      </c>
      <c r="E3" s="2" t="s">
        <v>28</v>
      </c>
      <c r="F3" s="2" t="s">
        <v>29</v>
      </c>
      <c r="G3" s="3">
        <v>8</v>
      </c>
      <c r="H3" s="3">
        <v>3</v>
      </c>
      <c r="I3" s="3">
        <f t="shared" si="0"/>
        <v>24</v>
      </c>
      <c r="J3" s="2" t="s">
        <v>30</v>
      </c>
      <c r="K3" s="2" t="s">
        <v>31</v>
      </c>
      <c r="L3" s="2" t="s">
        <v>22</v>
      </c>
      <c r="M3" s="2" t="s">
        <v>32</v>
      </c>
      <c r="N3" s="2" t="s">
        <v>33</v>
      </c>
    </row>
    <row r="4" spans="1:14" ht="66" customHeight="1">
      <c r="A4" s="2" t="s">
        <v>34</v>
      </c>
      <c r="B4" s="2" t="s">
        <v>15</v>
      </c>
      <c r="C4" s="2" t="s">
        <v>35</v>
      </c>
      <c r="D4" s="2" t="s">
        <v>36</v>
      </c>
      <c r="E4" s="2" t="s">
        <v>37</v>
      </c>
      <c r="F4" s="2" t="s">
        <v>38</v>
      </c>
      <c r="G4" s="3">
        <v>9</v>
      </c>
      <c r="H4" s="3">
        <v>3</v>
      </c>
      <c r="I4" s="3">
        <f t="shared" si="0"/>
        <v>27</v>
      </c>
      <c r="J4" s="2" t="s">
        <v>39</v>
      </c>
      <c r="K4" s="2" t="s">
        <v>40</v>
      </c>
      <c r="L4" s="2" t="s">
        <v>22</v>
      </c>
      <c r="M4" s="2" t="s">
        <v>41</v>
      </c>
      <c r="N4" s="2" t="s">
        <v>42</v>
      </c>
    </row>
    <row r="5" spans="1:14" ht="66" customHeight="1">
      <c r="A5" s="2" t="s">
        <v>43</v>
      </c>
      <c r="B5" s="2" t="s">
        <v>15</v>
      </c>
      <c r="C5" s="2" t="s">
        <v>44</v>
      </c>
      <c r="D5" s="2" t="s">
        <v>45</v>
      </c>
      <c r="E5" s="2" t="s">
        <v>46</v>
      </c>
      <c r="F5" s="2" t="s">
        <v>47</v>
      </c>
      <c r="G5" s="3">
        <v>9</v>
      </c>
      <c r="H5" s="3">
        <v>4</v>
      </c>
      <c r="I5" s="3">
        <f t="shared" si="0"/>
        <v>36</v>
      </c>
      <c r="J5" s="2" t="s">
        <v>48</v>
      </c>
      <c r="K5" s="2" t="s">
        <v>49</v>
      </c>
      <c r="L5" s="2" t="s">
        <v>22</v>
      </c>
      <c r="M5" s="2" t="s">
        <v>50</v>
      </c>
      <c r="N5" s="2" t="s">
        <v>51</v>
      </c>
    </row>
    <row r="6" spans="1:14" ht="66" customHeight="1">
      <c r="A6" s="2" t="s">
        <v>52</v>
      </c>
      <c r="B6" s="2" t="s">
        <v>15</v>
      </c>
      <c r="C6" s="2" t="s">
        <v>53</v>
      </c>
      <c r="D6" s="2" t="s">
        <v>54</v>
      </c>
      <c r="E6" s="2" t="s">
        <v>55</v>
      </c>
      <c r="F6" s="2" t="s">
        <v>56</v>
      </c>
      <c r="G6" s="3">
        <v>8</v>
      </c>
      <c r="H6" s="3">
        <v>3</v>
      </c>
      <c r="I6" s="3">
        <f t="shared" si="0"/>
        <v>24</v>
      </c>
      <c r="J6" s="2" t="s">
        <v>57</v>
      </c>
      <c r="K6" s="2" t="s">
        <v>58</v>
      </c>
      <c r="L6" s="2" t="s">
        <v>22</v>
      </c>
      <c r="M6" s="2" t="s">
        <v>59</v>
      </c>
      <c r="N6" s="2" t="s">
        <v>60</v>
      </c>
    </row>
    <row r="7" spans="1:14" ht="66" customHeight="1">
      <c r="A7" s="2" t="s">
        <v>61</v>
      </c>
      <c r="B7" s="2" t="s">
        <v>15</v>
      </c>
      <c r="C7" s="2" t="s">
        <v>62</v>
      </c>
      <c r="D7" s="2" t="s">
        <v>63</v>
      </c>
      <c r="E7" s="2" t="s">
        <v>64</v>
      </c>
      <c r="F7" s="2" t="s">
        <v>65</v>
      </c>
      <c r="G7" s="3">
        <v>9</v>
      </c>
      <c r="H7" s="3">
        <v>3</v>
      </c>
      <c r="I7" s="3">
        <f t="shared" si="0"/>
        <v>27</v>
      </c>
      <c r="J7" s="2" t="s">
        <v>66</v>
      </c>
      <c r="K7" s="2" t="s">
        <v>67</v>
      </c>
      <c r="L7" s="2" t="s">
        <v>68</v>
      </c>
      <c r="M7" s="2" t="s">
        <v>69</v>
      </c>
      <c r="N7" s="2" t="s">
        <v>70</v>
      </c>
    </row>
    <row r="8" spans="1:14" ht="66" customHeight="1">
      <c r="A8" s="2" t="s">
        <v>71</v>
      </c>
      <c r="B8" s="2" t="s">
        <v>15</v>
      </c>
      <c r="C8" s="2" t="s">
        <v>72</v>
      </c>
      <c r="D8" s="2" t="s">
        <v>73</v>
      </c>
      <c r="E8" s="2" t="s">
        <v>74</v>
      </c>
      <c r="F8" s="2" t="s">
        <v>75</v>
      </c>
      <c r="G8" s="3">
        <v>9</v>
      </c>
      <c r="H8" s="3">
        <v>2</v>
      </c>
      <c r="I8" s="3">
        <f t="shared" si="0"/>
        <v>18</v>
      </c>
      <c r="J8" s="2" t="s">
        <v>76</v>
      </c>
      <c r="K8" s="2" t="s">
        <v>77</v>
      </c>
      <c r="L8" s="2" t="s">
        <v>68</v>
      </c>
      <c r="M8" s="2" t="s">
        <v>69</v>
      </c>
      <c r="N8" s="2" t="s">
        <v>70</v>
      </c>
    </row>
    <row r="9" spans="1:14" ht="66" customHeight="1">
      <c r="A9" s="2" t="s">
        <v>78</v>
      </c>
      <c r="B9" s="2" t="s">
        <v>79</v>
      </c>
      <c r="C9" s="2" t="s">
        <v>80</v>
      </c>
      <c r="D9" s="2" t="s">
        <v>81</v>
      </c>
      <c r="E9" s="2" t="s">
        <v>82</v>
      </c>
      <c r="F9" s="2" t="s">
        <v>83</v>
      </c>
      <c r="G9" s="3">
        <v>8</v>
      </c>
      <c r="H9" s="3">
        <v>4</v>
      </c>
      <c r="I9" s="3">
        <f t="shared" si="0"/>
        <v>32</v>
      </c>
      <c r="J9" s="2" t="s">
        <v>84</v>
      </c>
      <c r="K9" s="2" t="s">
        <v>85</v>
      </c>
      <c r="L9" s="2" t="s">
        <v>86</v>
      </c>
      <c r="M9" s="2" t="s">
        <v>59</v>
      </c>
      <c r="N9" s="2" t="s">
        <v>60</v>
      </c>
    </row>
    <row r="10" spans="1:14" ht="66" customHeight="1">
      <c r="A10" s="2" t="s">
        <v>87</v>
      </c>
      <c r="B10" s="2" t="s">
        <v>79</v>
      </c>
      <c r="C10" s="2" t="s">
        <v>88</v>
      </c>
      <c r="D10" s="2" t="s">
        <v>89</v>
      </c>
      <c r="E10" s="2" t="s">
        <v>90</v>
      </c>
      <c r="F10" s="2" t="s">
        <v>91</v>
      </c>
      <c r="G10" s="3">
        <v>9</v>
      </c>
      <c r="H10" s="3">
        <v>3</v>
      </c>
      <c r="I10" s="3">
        <f t="shared" si="0"/>
        <v>27</v>
      </c>
      <c r="J10" s="2" t="s">
        <v>92</v>
      </c>
      <c r="K10" s="2" t="s">
        <v>93</v>
      </c>
      <c r="L10" s="2" t="s">
        <v>94</v>
      </c>
      <c r="M10" s="2" t="s">
        <v>95</v>
      </c>
      <c r="N10" s="2" t="s">
        <v>96</v>
      </c>
    </row>
    <row r="11" spans="1:14" ht="66" customHeight="1">
      <c r="A11" s="2" t="s">
        <v>97</v>
      </c>
      <c r="B11" s="2" t="s">
        <v>79</v>
      </c>
      <c r="C11" s="2" t="s">
        <v>98</v>
      </c>
      <c r="D11" s="2" t="s">
        <v>99</v>
      </c>
      <c r="E11" s="2" t="s">
        <v>100</v>
      </c>
      <c r="F11" s="2" t="s">
        <v>101</v>
      </c>
      <c r="G11" s="3">
        <v>7</v>
      </c>
      <c r="H11" s="3">
        <v>3</v>
      </c>
      <c r="I11" s="3">
        <f t="shared" si="0"/>
        <v>21</v>
      </c>
      <c r="J11" s="2" t="s">
        <v>102</v>
      </c>
      <c r="K11" s="2" t="s">
        <v>103</v>
      </c>
      <c r="L11" s="2" t="s">
        <v>86</v>
      </c>
      <c r="M11" s="2" t="s">
        <v>32</v>
      </c>
      <c r="N11" s="2" t="s">
        <v>33</v>
      </c>
    </row>
    <row r="12" spans="1:14" ht="66" customHeight="1">
      <c r="A12" s="2" t="s">
        <v>104</v>
      </c>
      <c r="B12" s="2" t="s">
        <v>105</v>
      </c>
      <c r="C12" s="2" t="s">
        <v>106</v>
      </c>
      <c r="D12" s="2" t="s">
        <v>107</v>
      </c>
      <c r="E12" s="2" t="s">
        <v>108</v>
      </c>
      <c r="F12" s="2" t="s">
        <v>109</v>
      </c>
      <c r="G12" s="3">
        <v>10</v>
      </c>
      <c r="H12" s="3">
        <v>3</v>
      </c>
      <c r="I12" s="3">
        <f t="shared" si="0"/>
        <v>30</v>
      </c>
      <c r="J12" s="2" t="s">
        <v>110</v>
      </c>
      <c r="K12" s="2" t="s">
        <v>111</v>
      </c>
      <c r="L12" s="2" t="s">
        <v>112</v>
      </c>
      <c r="M12" s="2" t="s">
        <v>113</v>
      </c>
      <c r="N12" s="2" t="s">
        <v>114</v>
      </c>
    </row>
    <row r="13" spans="1:14" ht="66" customHeight="1">
      <c r="A13" s="2" t="s">
        <v>115</v>
      </c>
      <c r="B13" s="2" t="s">
        <v>105</v>
      </c>
      <c r="C13" s="2" t="s">
        <v>116</v>
      </c>
      <c r="D13" s="2" t="s">
        <v>117</v>
      </c>
      <c r="E13" s="2" t="s">
        <v>118</v>
      </c>
      <c r="F13" s="2" t="s">
        <v>119</v>
      </c>
      <c r="G13" s="3">
        <v>9</v>
      </c>
      <c r="H13" s="3">
        <v>2</v>
      </c>
      <c r="I13" s="3">
        <f t="shared" si="0"/>
        <v>18</v>
      </c>
      <c r="J13" s="2" t="s">
        <v>120</v>
      </c>
      <c r="K13" s="2" t="s">
        <v>121</v>
      </c>
      <c r="L13" s="2" t="s">
        <v>68</v>
      </c>
      <c r="M13" s="2" t="s">
        <v>69</v>
      </c>
      <c r="N13" s="2" t="s">
        <v>70</v>
      </c>
    </row>
    <row r="14" spans="1:14" ht="66" customHeight="1">
      <c r="A14" s="2" t="s">
        <v>122</v>
      </c>
      <c r="B14" s="2" t="s">
        <v>105</v>
      </c>
      <c r="C14" s="2" t="s">
        <v>123</v>
      </c>
      <c r="D14" s="2" t="s">
        <v>124</v>
      </c>
      <c r="E14" s="2" t="s">
        <v>125</v>
      </c>
      <c r="F14" s="2" t="s">
        <v>126</v>
      </c>
      <c r="G14" s="3">
        <v>9</v>
      </c>
      <c r="H14" s="3">
        <v>3</v>
      </c>
      <c r="I14" s="3">
        <f t="shared" si="0"/>
        <v>27</v>
      </c>
      <c r="J14" s="2" t="s">
        <v>127</v>
      </c>
      <c r="K14" s="2" t="s">
        <v>128</v>
      </c>
      <c r="L14" s="2" t="s">
        <v>129</v>
      </c>
      <c r="M14" s="2" t="s">
        <v>32</v>
      </c>
      <c r="N14" s="4" t="s">
        <v>33</v>
      </c>
    </row>
    <row r="15" spans="1:14" ht="66" customHeight="1">
      <c r="A15" s="2" t="s">
        <v>130</v>
      </c>
      <c r="B15" s="2" t="s">
        <v>105</v>
      </c>
      <c r="C15" s="2" t="s">
        <v>131</v>
      </c>
      <c r="D15" s="2" t="s">
        <v>132</v>
      </c>
      <c r="E15" s="2" t="s">
        <v>133</v>
      </c>
      <c r="F15" s="2" t="s">
        <v>134</v>
      </c>
      <c r="G15" s="3">
        <v>9</v>
      </c>
      <c r="H15" s="3">
        <v>2</v>
      </c>
      <c r="I15" s="3">
        <f t="shared" si="0"/>
        <v>18</v>
      </c>
      <c r="J15" s="2" t="s">
        <v>135</v>
      </c>
      <c r="K15" s="2" t="s">
        <v>136</v>
      </c>
      <c r="L15" s="2" t="s">
        <v>137</v>
      </c>
      <c r="M15" s="2" t="s">
        <v>59</v>
      </c>
      <c r="N15" s="2" t="s">
        <v>60</v>
      </c>
    </row>
    <row r="16" spans="1:14" ht="66" customHeight="1">
      <c r="A16" s="2" t="s">
        <v>138</v>
      </c>
      <c r="B16" s="2" t="s">
        <v>139</v>
      </c>
      <c r="C16" s="2" t="s">
        <v>140</v>
      </c>
      <c r="D16" s="2" t="s">
        <v>141</v>
      </c>
      <c r="E16" s="2" t="s">
        <v>142</v>
      </c>
      <c r="F16" s="2" t="s">
        <v>143</v>
      </c>
      <c r="G16" s="3">
        <v>9</v>
      </c>
      <c r="H16" s="3">
        <v>3</v>
      </c>
      <c r="I16" s="3">
        <f t="shared" si="0"/>
        <v>27</v>
      </c>
      <c r="J16" s="2" t="s">
        <v>144</v>
      </c>
      <c r="K16" s="2" t="s">
        <v>145</v>
      </c>
      <c r="L16" s="2" t="s">
        <v>146</v>
      </c>
      <c r="M16" s="2" t="s">
        <v>59</v>
      </c>
      <c r="N16" s="2" t="s">
        <v>60</v>
      </c>
    </row>
    <row r="17" spans="1:14" ht="66" customHeight="1">
      <c r="A17" s="2" t="s">
        <v>147</v>
      </c>
      <c r="B17" s="2" t="s">
        <v>139</v>
      </c>
      <c r="C17" s="2" t="s">
        <v>148</v>
      </c>
      <c r="D17" s="2" t="s">
        <v>149</v>
      </c>
      <c r="E17" s="2" t="s">
        <v>150</v>
      </c>
      <c r="F17" s="2" t="s">
        <v>151</v>
      </c>
      <c r="G17" s="3">
        <v>10</v>
      </c>
      <c r="H17" s="3">
        <v>3</v>
      </c>
      <c r="I17" s="3">
        <f t="shared" si="0"/>
        <v>30</v>
      </c>
      <c r="J17" s="2" t="s">
        <v>152</v>
      </c>
      <c r="K17" s="2" t="s">
        <v>153</v>
      </c>
      <c r="L17" s="2" t="s">
        <v>154</v>
      </c>
      <c r="M17" s="2" t="s">
        <v>155</v>
      </c>
      <c r="N17" s="2" t="s">
        <v>156</v>
      </c>
    </row>
    <row r="18" spans="1:14" ht="66" customHeight="1">
      <c r="A18" s="2" t="s">
        <v>157</v>
      </c>
      <c r="B18" s="2" t="s">
        <v>139</v>
      </c>
      <c r="C18" s="2" t="s">
        <v>158</v>
      </c>
      <c r="D18" s="2" t="s">
        <v>159</v>
      </c>
      <c r="E18" s="2" t="s">
        <v>160</v>
      </c>
      <c r="F18" s="2" t="s">
        <v>161</v>
      </c>
      <c r="G18" s="3">
        <v>9</v>
      </c>
      <c r="H18" s="3">
        <v>4</v>
      </c>
      <c r="I18" s="3">
        <f t="shared" si="0"/>
        <v>36</v>
      </c>
      <c r="J18" s="2" t="s">
        <v>162</v>
      </c>
      <c r="K18" s="2" t="s">
        <v>163</v>
      </c>
      <c r="L18" s="2" t="s">
        <v>22</v>
      </c>
      <c r="M18" s="2" t="s">
        <v>32</v>
      </c>
      <c r="N18" s="2" t="s">
        <v>33</v>
      </c>
    </row>
    <row r="19" spans="1:14" ht="66" customHeight="1">
      <c r="A19" s="2" t="s">
        <v>164</v>
      </c>
      <c r="B19" s="2" t="s">
        <v>139</v>
      </c>
      <c r="C19" s="2" t="s">
        <v>165</v>
      </c>
      <c r="D19" s="2" t="s">
        <v>166</v>
      </c>
      <c r="E19" s="2" t="s">
        <v>167</v>
      </c>
      <c r="F19" s="2" t="s">
        <v>168</v>
      </c>
      <c r="G19" s="3">
        <v>8</v>
      </c>
      <c r="H19" s="3">
        <v>3</v>
      </c>
      <c r="I19" s="3">
        <f t="shared" si="0"/>
        <v>24</v>
      </c>
      <c r="J19" s="2" t="s">
        <v>169</v>
      </c>
      <c r="K19" s="2" t="s">
        <v>170</v>
      </c>
      <c r="L19" s="2" t="s">
        <v>22</v>
      </c>
      <c r="M19" s="2" t="s">
        <v>171</v>
      </c>
      <c r="N19" s="2" t="s">
        <v>172</v>
      </c>
    </row>
    <row r="20" spans="1:14" ht="66" customHeight="1">
      <c r="A20" s="2" t="s">
        <v>173</v>
      </c>
      <c r="B20" s="2" t="s">
        <v>174</v>
      </c>
      <c r="C20" s="2" t="s">
        <v>175</v>
      </c>
      <c r="D20" s="2" t="s">
        <v>176</v>
      </c>
      <c r="E20" s="2" t="s">
        <v>177</v>
      </c>
      <c r="F20" s="2" t="s">
        <v>178</v>
      </c>
      <c r="G20" s="3">
        <v>10</v>
      </c>
      <c r="H20" s="3">
        <v>4</v>
      </c>
      <c r="I20" s="3">
        <f t="shared" si="0"/>
        <v>40</v>
      </c>
      <c r="J20" s="2" t="s">
        <v>179</v>
      </c>
      <c r="K20" s="2" t="s">
        <v>180</v>
      </c>
      <c r="L20" s="2" t="s">
        <v>181</v>
      </c>
      <c r="M20" s="2" t="s">
        <v>41</v>
      </c>
      <c r="N20" s="2" t="s">
        <v>42</v>
      </c>
    </row>
    <row r="21" spans="1:14" ht="66" customHeight="1">
      <c r="A21" s="2" t="s">
        <v>182</v>
      </c>
      <c r="B21" s="2" t="s">
        <v>174</v>
      </c>
      <c r="C21" s="2" t="s">
        <v>183</v>
      </c>
      <c r="D21" s="2" t="s">
        <v>184</v>
      </c>
      <c r="E21" s="2" t="s">
        <v>185</v>
      </c>
      <c r="F21" s="2" t="s">
        <v>186</v>
      </c>
      <c r="G21" s="3">
        <v>7</v>
      </c>
      <c r="H21" s="3">
        <v>4</v>
      </c>
      <c r="I21" s="3">
        <f t="shared" si="0"/>
        <v>28</v>
      </c>
      <c r="J21" s="2" t="s">
        <v>187</v>
      </c>
      <c r="K21" s="2" t="s">
        <v>188</v>
      </c>
      <c r="L21" s="2" t="s">
        <v>22</v>
      </c>
      <c r="M21" s="2" t="s">
        <v>32</v>
      </c>
      <c r="N21" s="2" t="s">
        <v>33</v>
      </c>
    </row>
    <row r="22" spans="1:14" ht="66" customHeight="1">
      <c r="A22" s="2" t="s">
        <v>189</v>
      </c>
      <c r="B22" s="2" t="s">
        <v>174</v>
      </c>
      <c r="C22" s="2" t="s">
        <v>190</v>
      </c>
      <c r="D22" s="2" t="s">
        <v>191</v>
      </c>
      <c r="E22" s="2" t="s">
        <v>192</v>
      </c>
      <c r="F22" s="2" t="s">
        <v>193</v>
      </c>
      <c r="G22" s="3">
        <v>9</v>
      </c>
      <c r="H22" s="3">
        <v>3</v>
      </c>
      <c r="I22" s="3">
        <f t="shared" si="0"/>
        <v>27</v>
      </c>
      <c r="J22" s="2" t="s">
        <v>194</v>
      </c>
      <c r="K22" s="2" t="s">
        <v>195</v>
      </c>
      <c r="L22" s="2" t="s">
        <v>196</v>
      </c>
      <c r="M22" s="2" t="s">
        <v>155</v>
      </c>
      <c r="N22" s="2" t="s">
        <v>156</v>
      </c>
    </row>
    <row r="23" spans="1:14" ht="66" customHeight="1">
      <c r="A23" s="2" t="s">
        <v>197</v>
      </c>
      <c r="B23" s="2" t="s">
        <v>174</v>
      </c>
      <c r="C23" s="2" t="s">
        <v>198</v>
      </c>
      <c r="D23" s="2" t="s">
        <v>199</v>
      </c>
      <c r="E23" s="2" t="s">
        <v>200</v>
      </c>
      <c r="F23" s="2" t="s">
        <v>201</v>
      </c>
      <c r="G23" s="3">
        <v>9</v>
      </c>
      <c r="H23" s="3">
        <v>3</v>
      </c>
      <c r="I23" s="3">
        <f t="shared" si="0"/>
        <v>27</v>
      </c>
      <c r="J23" s="2" t="s">
        <v>202</v>
      </c>
      <c r="K23" s="2" t="s">
        <v>203</v>
      </c>
      <c r="L23" s="2" t="s">
        <v>68</v>
      </c>
      <c r="M23" s="2" t="s">
        <v>41</v>
      </c>
      <c r="N23" s="2" t="s">
        <v>42</v>
      </c>
    </row>
    <row r="24" spans="1:14" ht="66" customHeight="1">
      <c r="A24" s="2" t="s">
        <v>204</v>
      </c>
      <c r="B24" s="2" t="s">
        <v>174</v>
      </c>
      <c r="C24" s="2" t="s">
        <v>205</v>
      </c>
      <c r="D24" s="2" t="s">
        <v>206</v>
      </c>
      <c r="E24" s="2" t="s">
        <v>207</v>
      </c>
      <c r="F24" s="2" t="s">
        <v>208</v>
      </c>
      <c r="G24" s="3">
        <v>8</v>
      </c>
      <c r="H24" s="3">
        <v>3</v>
      </c>
      <c r="I24" s="3">
        <f t="shared" si="0"/>
        <v>24</v>
      </c>
      <c r="J24" s="2" t="s">
        <v>209</v>
      </c>
      <c r="K24" s="2" t="s">
        <v>210</v>
      </c>
      <c r="L24" s="2" t="s">
        <v>22</v>
      </c>
      <c r="M24" s="2" t="s">
        <v>32</v>
      </c>
      <c r="N24" s="2" t="s">
        <v>33</v>
      </c>
    </row>
    <row r="25" spans="1:14" ht="66" customHeight="1">
      <c r="A25" s="2" t="s">
        <v>211</v>
      </c>
      <c r="B25" s="2" t="s">
        <v>212</v>
      </c>
      <c r="C25" s="2" t="s">
        <v>213</v>
      </c>
      <c r="D25" s="2" t="s">
        <v>214</v>
      </c>
      <c r="E25" s="2" t="s">
        <v>215</v>
      </c>
      <c r="F25" s="2" t="s">
        <v>216</v>
      </c>
      <c r="G25" s="3">
        <v>8</v>
      </c>
      <c r="H25" s="3">
        <v>3</v>
      </c>
      <c r="I25" s="3">
        <f t="shared" si="0"/>
        <v>24</v>
      </c>
      <c r="J25" s="2" t="s">
        <v>217</v>
      </c>
      <c r="K25" s="2" t="s">
        <v>218</v>
      </c>
      <c r="L25" s="2" t="s">
        <v>22</v>
      </c>
      <c r="M25" s="2" t="s">
        <v>32</v>
      </c>
      <c r="N25" s="2" t="s">
        <v>33</v>
      </c>
    </row>
    <row r="26" spans="1:14" ht="66" customHeight="1">
      <c r="A26" s="2" t="s">
        <v>219</v>
      </c>
      <c r="B26" s="2" t="s">
        <v>212</v>
      </c>
      <c r="C26" s="2" t="s">
        <v>220</v>
      </c>
      <c r="D26" s="2" t="s">
        <v>221</v>
      </c>
      <c r="E26" s="2" t="s">
        <v>222</v>
      </c>
      <c r="F26" s="2" t="s">
        <v>223</v>
      </c>
      <c r="G26" s="3">
        <v>9</v>
      </c>
      <c r="H26" s="3">
        <v>3</v>
      </c>
      <c r="I26" s="3">
        <f t="shared" si="0"/>
        <v>27</v>
      </c>
      <c r="J26" s="2" t="s">
        <v>224</v>
      </c>
      <c r="K26" s="2" t="s">
        <v>225</v>
      </c>
      <c r="L26" s="2" t="s">
        <v>226</v>
      </c>
      <c r="M26" s="2" t="s">
        <v>23</v>
      </c>
      <c r="N26" s="2" t="s">
        <v>24</v>
      </c>
    </row>
    <row r="27" spans="1:14" ht="66" customHeight="1">
      <c r="A27" s="2" t="s">
        <v>227</v>
      </c>
      <c r="B27" s="2" t="s">
        <v>212</v>
      </c>
      <c r="C27" s="2" t="s">
        <v>228</v>
      </c>
      <c r="D27" s="2" t="s">
        <v>229</v>
      </c>
      <c r="E27" s="2" t="s">
        <v>230</v>
      </c>
      <c r="F27" s="2" t="s">
        <v>231</v>
      </c>
      <c r="G27" s="3">
        <v>8</v>
      </c>
      <c r="H27" s="3">
        <v>3</v>
      </c>
      <c r="I27" s="3">
        <f t="shared" si="0"/>
        <v>24</v>
      </c>
      <c r="J27" s="2" t="s">
        <v>232</v>
      </c>
      <c r="K27" s="2" t="s">
        <v>233</v>
      </c>
      <c r="L27" s="2" t="s">
        <v>22</v>
      </c>
      <c r="M27" s="2" t="s">
        <v>234</v>
      </c>
      <c r="N27" s="2" t="s">
        <v>235</v>
      </c>
    </row>
    <row r="28" spans="1:14" ht="66" customHeight="1">
      <c r="A28" s="2" t="s">
        <v>236</v>
      </c>
      <c r="B28" s="2" t="s">
        <v>212</v>
      </c>
      <c r="C28" s="2" t="s">
        <v>237</v>
      </c>
      <c r="D28" s="2" t="s">
        <v>238</v>
      </c>
      <c r="E28" s="2" t="s">
        <v>239</v>
      </c>
      <c r="F28" s="2" t="s">
        <v>240</v>
      </c>
      <c r="G28" s="3">
        <v>8</v>
      </c>
      <c r="H28" s="3">
        <v>4</v>
      </c>
      <c r="I28" s="3">
        <f t="shared" si="0"/>
        <v>32</v>
      </c>
      <c r="J28" s="2" t="s">
        <v>241</v>
      </c>
      <c r="K28" s="2" t="s">
        <v>242</v>
      </c>
      <c r="L28" s="2" t="s">
        <v>226</v>
      </c>
      <c r="M28" s="2" t="s">
        <v>59</v>
      </c>
      <c r="N28" s="2" t="s">
        <v>60</v>
      </c>
    </row>
    <row r="29" spans="1:14" ht="66" customHeight="1">
      <c r="A29" s="2" t="s">
        <v>243</v>
      </c>
      <c r="B29" s="2" t="s">
        <v>212</v>
      </c>
      <c r="C29" s="2" t="s">
        <v>244</v>
      </c>
      <c r="D29" s="2" t="s">
        <v>245</v>
      </c>
      <c r="E29" s="2" t="s">
        <v>246</v>
      </c>
      <c r="F29" s="2" t="s">
        <v>247</v>
      </c>
      <c r="G29" s="3">
        <v>10</v>
      </c>
      <c r="H29" s="3">
        <v>2</v>
      </c>
      <c r="I29" s="3">
        <f t="shared" si="0"/>
        <v>20</v>
      </c>
      <c r="J29" s="2" t="s">
        <v>248</v>
      </c>
      <c r="K29" s="2" t="s">
        <v>249</v>
      </c>
      <c r="L29" s="2" t="s">
        <v>68</v>
      </c>
      <c r="M29" s="2" t="s">
        <v>23</v>
      </c>
      <c r="N29" s="2" t="s">
        <v>24</v>
      </c>
    </row>
    <row r="30" spans="1:14" ht="66" customHeight="1">
      <c r="A30" s="2" t="s">
        <v>250</v>
      </c>
      <c r="B30" s="2" t="s">
        <v>212</v>
      </c>
      <c r="C30" s="2" t="s">
        <v>251</v>
      </c>
      <c r="D30" s="2" t="s">
        <v>252</v>
      </c>
      <c r="E30" s="2" t="s">
        <v>253</v>
      </c>
      <c r="F30" s="2" t="s">
        <v>254</v>
      </c>
      <c r="G30" s="3">
        <v>8</v>
      </c>
      <c r="H30" s="3">
        <v>3</v>
      </c>
      <c r="I30" s="3">
        <f t="shared" si="0"/>
        <v>24</v>
      </c>
      <c r="J30" s="2" t="s">
        <v>255</v>
      </c>
      <c r="K30" s="2" t="s">
        <v>256</v>
      </c>
      <c r="L30" s="2" t="s">
        <v>226</v>
      </c>
      <c r="M30" s="2" t="s">
        <v>59</v>
      </c>
      <c r="N30" s="2" t="s">
        <v>60</v>
      </c>
    </row>
    <row r="31" spans="1:14" ht="66" customHeight="1">
      <c r="A31" s="2" t="s">
        <v>257</v>
      </c>
      <c r="B31" s="2" t="s">
        <v>258</v>
      </c>
      <c r="C31" s="2" t="s">
        <v>259</v>
      </c>
      <c r="D31" s="2" t="s">
        <v>260</v>
      </c>
      <c r="E31" s="2" t="s">
        <v>261</v>
      </c>
      <c r="F31" s="2" t="s">
        <v>262</v>
      </c>
      <c r="G31" s="3">
        <v>9</v>
      </c>
      <c r="H31" s="3">
        <v>3</v>
      </c>
      <c r="I31" s="3">
        <f t="shared" si="0"/>
        <v>27</v>
      </c>
      <c r="J31" s="2" t="s">
        <v>263</v>
      </c>
      <c r="K31" s="2" t="s">
        <v>264</v>
      </c>
      <c r="L31" s="2" t="s">
        <v>265</v>
      </c>
      <c r="M31" s="2" t="s">
        <v>266</v>
      </c>
      <c r="N31" s="2" t="s">
        <v>267</v>
      </c>
    </row>
    <row r="32" spans="1:14" ht="66" customHeight="1">
      <c r="A32" s="2" t="s">
        <v>268</v>
      </c>
      <c r="B32" s="2" t="s">
        <v>258</v>
      </c>
      <c r="C32" s="2" t="s">
        <v>269</v>
      </c>
      <c r="D32" s="2" t="s">
        <v>270</v>
      </c>
      <c r="E32" s="2" t="s">
        <v>271</v>
      </c>
      <c r="F32" s="2" t="s">
        <v>272</v>
      </c>
      <c r="G32" s="3">
        <v>10</v>
      </c>
      <c r="H32" s="3">
        <v>2</v>
      </c>
      <c r="I32" s="3">
        <f t="shared" si="0"/>
        <v>20</v>
      </c>
      <c r="J32" s="2" t="s">
        <v>273</v>
      </c>
      <c r="K32" s="2" t="s">
        <v>274</v>
      </c>
      <c r="L32" s="2" t="s">
        <v>265</v>
      </c>
      <c r="M32" s="2" t="s">
        <v>275</v>
      </c>
      <c r="N32" s="2" t="s">
        <v>276</v>
      </c>
    </row>
    <row r="33" spans="1:14" ht="66" customHeight="1">
      <c r="A33" s="2" t="s">
        <v>277</v>
      </c>
      <c r="B33" s="2" t="s">
        <v>258</v>
      </c>
      <c r="C33" s="2" t="s">
        <v>278</v>
      </c>
      <c r="D33" s="2" t="s">
        <v>279</v>
      </c>
      <c r="E33" s="2" t="s">
        <v>280</v>
      </c>
      <c r="F33" s="2" t="s">
        <v>281</v>
      </c>
      <c r="G33" s="3">
        <v>8</v>
      </c>
      <c r="H33" s="3">
        <v>3</v>
      </c>
      <c r="I33" s="3">
        <f t="shared" si="0"/>
        <v>24</v>
      </c>
      <c r="J33" s="2" t="s">
        <v>282</v>
      </c>
      <c r="K33" s="2" t="s">
        <v>283</v>
      </c>
      <c r="L33" s="2" t="s">
        <v>265</v>
      </c>
      <c r="M33" s="2" t="s">
        <v>284</v>
      </c>
      <c r="N33" s="2" t="s">
        <v>285</v>
      </c>
    </row>
    <row r="34" spans="1:14" ht="66" customHeight="1">
      <c r="A34" s="2" t="s">
        <v>286</v>
      </c>
      <c r="B34" s="2" t="s">
        <v>258</v>
      </c>
      <c r="C34" s="2" t="s">
        <v>287</v>
      </c>
      <c r="D34" s="2" t="s">
        <v>288</v>
      </c>
      <c r="E34" s="2" t="s">
        <v>289</v>
      </c>
      <c r="F34" s="2" t="s">
        <v>290</v>
      </c>
      <c r="G34" s="3">
        <v>9</v>
      </c>
      <c r="H34" s="3">
        <v>2</v>
      </c>
      <c r="I34" s="3">
        <f t="shared" si="0"/>
        <v>18</v>
      </c>
      <c r="J34" s="2" t="s">
        <v>291</v>
      </c>
      <c r="K34" s="2" t="s">
        <v>292</v>
      </c>
      <c r="L34" s="2" t="s">
        <v>265</v>
      </c>
      <c r="M34" s="2" t="s">
        <v>293</v>
      </c>
      <c r="N34" s="2" t="s">
        <v>294</v>
      </c>
    </row>
  </sheetData>
  <hyperlinks>
    <hyperlink ref="N14" r:id="rId1" xr:uid="{4CAE481D-2D92-4BEF-BE19-33BD0AD3F0FF}"/>
  </hyperlinks>
  <pageMargins left="0.7" right="0.7" top="0.75" bottom="0.75" header="0.3" footer="0.3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Έγγραφο" ma:contentTypeID="0x010100B304A6117C4DF84CB3C8B051AC891574" ma:contentTypeVersion="20" ma:contentTypeDescription="Δημιουργία νέου εγγράφου" ma:contentTypeScope="" ma:versionID="4ed839a14509944c5291fcd17fa2b9d9">
  <xsd:schema xmlns:xsd="http://www.w3.org/2001/XMLSchema" xmlns:xs="http://www.w3.org/2001/XMLSchema" xmlns:p="http://schemas.microsoft.com/office/2006/metadata/properties" xmlns:ns2="476fff79-cca5-4bf5-bfa1-08e490f83e28" xmlns:ns3="d72dafea-079e-4f13-8c31-726b68bf6a28" targetNamespace="http://schemas.microsoft.com/office/2006/metadata/properties" ma:root="true" ma:fieldsID="77a66d2d8778af9a3e204b39cbf3bb64" ns2:_="" ns3:_="">
    <xsd:import namespace="476fff79-cca5-4bf5-bfa1-08e490f83e28"/>
    <xsd:import namespace="d72dafea-079e-4f13-8c31-726b68bf6a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6fff79-cca5-4bf5-bfa1-08e490f83e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Ετικέτες εικόνας" ma:readOnly="false" ma:fieldId="{5cf76f15-5ced-4ddc-b409-7134ff3c332f}" ma:taxonomyMulti="true" ma:sspId="fed25f8e-50e6-4137-9d04-02130354ac1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2dafea-079e-4f13-8c31-726b68bf6a2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b4e1b9b5-9fa9-4613-b7f5-e0abfd9c0063}" ma:internalName="TaxCatchAll" ma:showField="CatchAllData" ma:web="d72dafea-079e-4f13-8c31-726b68bf6a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Τύπος περιεχομένου"/>
        <xsd:element ref="dc:title" minOccurs="0" maxOccurs="1" ma:index="4" ma:displayName="Τίτλο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72dafea-079e-4f13-8c31-726b68bf6a28" xsi:nil="true"/>
    <lcf76f155ced4ddcb4097134ff3c332f xmlns="476fff79-cca5-4bf5-bfa1-08e490f83e28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7FA4C2B-C066-4DC8-B9E1-A2D440869E4F}"/>
</file>

<file path=customXml/itemProps2.xml><?xml version="1.0" encoding="utf-8"?>
<ds:datastoreItem xmlns:ds="http://schemas.openxmlformats.org/officeDocument/2006/customXml" ds:itemID="{FAB02C00-751C-4D32-A9DB-257DA5ACE5FB}"/>
</file>

<file path=customXml/itemProps3.xml><?xml version="1.0" encoding="utf-8"?>
<ds:datastoreItem xmlns:ds="http://schemas.openxmlformats.org/officeDocument/2006/customXml" ds:itemID="{DC66E9A3-7BC4-4E4F-9723-5BAB7F07C00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Morelos, Joseph</cp:lastModifiedBy>
  <cp:revision/>
  <dcterms:created xsi:type="dcterms:W3CDTF">2026-07-24T14:50:20Z</dcterms:created>
  <dcterms:modified xsi:type="dcterms:W3CDTF">2026-07-24T14:50:20Z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0x010100B304A6117C4DF84CB3C8B051AC891574</vt:lpwstr>
  </property>
  <property fmtid="{D5CDD505-2E9C-101B-9397-08002B2CF9AE}" pid="3" name="MediaServiceImageTags">
    <vt:lpwstr/>
  </property>
</Properties>
</file>