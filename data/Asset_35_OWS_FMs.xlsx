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ioni\Desktop\phd\D_Navio\WP5\verified_new_template\"/>
    </mc:Choice>
  </mc:AlternateContent>
  <xr:revisionPtr revIDLastSave="0" documentId="13_ncr:1_{C2F41EF9-0CE9-4C27-AAA3-16B9FEBACA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WS F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0" i="1" l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<sst xmlns="http://schemas.openxmlformats.org/spreadsheetml/2006/main" count="443" uniqueCount="329">
  <si>
    <t>FM ID</t>
  </si>
  <si>
    <t>FM Class</t>
  </si>
  <si>
    <t>Failure Mode (FM)</t>
  </si>
  <si>
    <t>Potential Causes &amp; Mechanism(s) of the FM</t>
  </si>
  <si>
    <t>Potential Technical Effects of the FM</t>
  </si>
  <si>
    <t>Potential Consequences of the FM</t>
  </si>
  <si>
    <t>Severity (1-10)</t>
  </si>
  <si>
    <t>Probability (1-10)</t>
  </si>
  <si>
    <t>RPN (S x P)</t>
  </si>
  <si>
    <t>Detective Controls</t>
  </si>
  <si>
    <t>Preventive Controls</t>
  </si>
  <si>
    <t>Responsibility</t>
  </si>
  <si>
    <t>Source</t>
  </si>
  <si>
    <t>Link</t>
  </si>
  <si>
    <t>OWS-S01</t>
  </si>
  <si>
    <t>Data/Input Failure</t>
  </si>
  <si>
    <t>15 ppm Bilge Alarm / Oil Content Monitor Dirty Measuring Cell</t>
  </si>
  <si>
    <t>Oil, rust/rouge deposits, stained cell surfaces, bacterial deposits or other contamination obstruct the optical path in the measuring cell.</t>
  </si>
  <si>
    <t>Monitor remains in alarm, gives inaccurate ppm readings, or cannot confirm compliant effluent even when the separator is operating.</t>
  </si>
  <si>
    <t>Overboard discharge is prevented or, if the monitor under-reads, non-compliant oily water may be discharged.</t>
  </si>
  <si>
    <t>High ppm alarm, detector under/over range error, inability to zero, visual inspection of measuring cell/cuvette.</t>
  </si>
  <si>
    <t>Flush with clean water after use, clean measuring cell according to manual, maintain documented OCM calibration and inspection routines.</t>
  </si>
  <si>
    <t>Chief Engineer / Electrical Officer / OEM Service</t>
  </si>
  <si>
    <t>Rivertrace SmartBilge+ Customer Manual</t>
  </si>
  <si>
    <t>https://www.insatechmarine.com/media/2ukou4vw/im_smart-bilge_rivertrace_e.pdf</t>
  </si>
  <si>
    <t>OWS-S02</t>
  </si>
  <si>
    <t>OCM Calibration / Zero-Drift or Failed Zeroing</t>
  </si>
  <si>
    <t>Oil-free water zeroing is not achieved because of contamination, deposits, bubbles, poor cleaning, sensor drift or calibration error.</t>
  </si>
  <si>
    <t>Oil content readings become biased; compliant or non-compliant effluent may be misclassified by the OCM.</t>
  </si>
  <si>
    <t>Regulatory non-compliance, false shutdowns, or risk of illegal discharge if the monitor underestimates oil content.</t>
  </si>
  <si>
    <t>Zero check, calibration check, clean-water flush, repeatability check, comparison against grab sample/laboratory analysis where required.</t>
  </si>
  <si>
    <t>Perform manufacturer calibration and zeroing procedures; keep clean-water supply; clean and inspect sampling cell and sampling lines.</t>
  </si>
  <si>
    <t>IMO MEPC.107(49)</t>
  </si>
  <si>
    <t>https://puc.overheid.nl/nsi/doc/PUC_2589_14/1/</t>
  </si>
  <si>
    <t>OWS-S03</t>
  </si>
  <si>
    <t>OCM Sample Flow / Pressure Insufficient</t>
  </si>
  <si>
    <t>Blocked sample line, debris in sample inlet, closed or throttled valve, inadequate sample pressure, failed sample flow switch or insufficient OWS outlet pressure.</t>
  </si>
  <si>
    <t>The 15 ppm alarm does not receive a representative sample or cannot operate within its required measurement conditions.</t>
  </si>
  <si>
    <t>Discharge may be stopped, or oil-content monitoring may become unreliable.</t>
  </si>
  <si>
    <t>Flow error warning, sample-flow switch alarm, low flow through measuring cell, check pressure/flow at sampling point.</t>
  </si>
  <si>
    <t>Keep sample lines clean; locate sampling point correctly; maintain adequate pressure and flow to the bilge alarm.</t>
  </si>
  <si>
    <t>IMO MEPC.107(49); Rivertrace SmartBilge+ Customer Manual</t>
  </si>
  <si>
    <t>https://puc.overheid.nl/nsi/doc/PUC_2589_14/1/ ; https://www.insatechmarine.com/media/2ukou4vw/im_smart-bilge_rivertrace_e.pdf</t>
  </si>
  <si>
    <t>OWS-S04</t>
  </si>
  <si>
    <t>Air Bubbles / Cavitation in OCM Sample</t>
  </si>
  <si>
    <t>Air ingress through leaks, suction-side leakage, cavitation, pressure drop across valves, blocked sampling tube or outgassing in the sample line.</t>
  </si>
  <si>
    <t>Erratic high/low ppm readings and unstable OCM response; measuring cell may appear non-zero on clean water.</t>
  </si>
  <si>
    <t>False alarms, unreliable discharge decision, extended recirculation or possible under-detection of oil content.</t>
  </si>
  <si>
    <t>Rapidly fluctuating ppm display, visible bubbles in sample, OCM non-zero on clean water, sample-line inspection.</t>
  </si>
  <si>
    <t>Repair leaks, clear obstructions, maintain backpressure, avoid excessive throttling and flush the sampling line.</t>
  </si>
  <si>
    <t>IMO MEPC.1/Circ.677</t>
  </si>
  <si>
    <t>https://puc.overheid.nl/nsi/doc/PUC_1677_14/1/</t>
  </si>
  <si>
    <t>OWS-S05</t>
  </si>
  <si>
    <t>OCM Detector / Electronics Failure</t>
  </si>
  <si>
    <t>Detector electronics out of range, cell electronics fault, PCB fault, LCD/display failure, loose ribbon cable, fuse failure or cell breach.</t>
  </si>
  <si>
    <t>The bilge alarm cannot measure, display or transmit reliable oil-content data.</t>
  </si>
  <si>
    <t>Automatic discharge control may default to alarm/recirculation; inspection records may be incomplete.</t>
  </si>
  <si>
    <t>System error, blank display, detector under/over range, communications failure, cell breach alarm.</t>
  </si>
  <si>
    <t>Inspect power supply, fuses, cable connectors and cell electronics; replace monitor components according to manufacturer guidance.</t>
  </si>
  <si>
    <t>OWS-S06</t>
  </si>
  <si>
    <t>GPS / Vessel-Speed Input Failure for Discharge Permission</t>
  </si>
  <si>
    <t>GPS/NMEA wiring error, disconnected GPS input, incorrect signal format, missing vessel-speed data or speed below configured discharge threshold.</t>
  </si>
  <si>
    <t>OWS monitoring/control system prevents discharge or records incomplete position/speed information.</t>
  </si>
  <si>
    <t>Operational delay and incomplete compliance evidence for discharge events.</t>
  </si>
  <si>
    <t>GPS disconnected alarm, vessel-speed-too-low warning, missing GPS position in discharge record.</t>
  </si>
  <si>
    <t>Maintain GPS wiring and interface configuration; test signal integrity; verify discharge-log data against bridge/navigation records.</t>
  </si>
  <si>
    <t>OWS-S07</t>
  </si>
  <si>
    <t>Data Recorder / Real-Time Clock Failure</t>
  </si>
  <si>
    <t>RTC/I2C failure, data recorder failure, power loss, storage fault or recorder-controller electronics fault.</t>
  </si>
  <si>
    <t>Date/time, alarm status, separator operating status and discharge logs may be inaccurate or unavailable.</t>
  </si>
  <si>
    <t>Loss of evidence for MARPOL/port-state-control inspections and reduced traceability of discharge operations.</t>
  </si>
  <si>
    <t>RTC failure alarm, missing time stamps, incomplete recorder data, inspection of data download/printout.</t>
  </si>
  <si>
    <t>Maintain recorder, backup/export data, protect power supply, test record retrieval, replace faulty PCB/recorder components.</t>
  </si>
  <si>
    <t>OWS-N01</t>
  </si>
  <si>
    <t>Communication Failure</t>
  </si>
  <si>
    <t>Monitor-to-Controller Communication Failure</t>
  </si>
  <si>
    <t>RS485 or internal communication cable loose/disconnected, cell-controller signal loss, controller PCB fault or communication interface failure.</t>
  </si>
  <si>
    <t>Oil-content measurement may not reach the controller or automatic stopping device logic.</t>
  </si>
  <si>
    <t>Discharge is prevented or monitoring function becomes unreliable.</t>
  </si>
  <si>
    <t>Communications failure alarm, missing OCM values at controller/AMS, cable continuity checks.</t>
  </si>
  <si>
    <t>Secure communication plugs/cables, inspect connectors, maintain shielded wiring and replace failed cell/controller electronics.</t>
  </si>
  <si>
    <t>Electrical Officer / Automation Engineer / OEM Service</t>
  </si>
  <si>
    <t>OWS-N02</t>
  </si>
  <si>
    <t>Loss of Remote Alarm / AMS Status Signal</t>
  </si>
  <si>
    <t>Faulty relay output, alarm interface wiring fault, PLC/AMS input failure, network gateway fault or configuration mismatch.</t>
  </si>
  <si>
    <t>Local OWS alarm is not correctly visible to the machinery alarm system or remote monitoring station.</t>
  </si>
  <si>
    <t>Delayed response to high ppm, equipment fault or discharge-control problem.</t>
  </si>
  <si>
    <t>Mismatch between local panel and AMS status, failed alarm test, missing remote alarm indication.</t>
  </si>
  <si>
    <t>Perform alarm-loop testing, verify I/O mapping, maintain relay contacts and communication gateways.</t>
  </si>
  <si>
    <t>OWS-L01</t>
  </si>
  <si>
    <t>Software Anomaly</t>
  </si>
  <si>
    <t>Automatic Stopping Device Fails to Divert High-ppm Discharge</t>
  </si>
  <si>
    <t>Fault in automatic stopping logic, divert valve control failure, relay/solenoid failure, disabled alarm output or incorrect valve arrangement.</t>
  </si>
  <si>
    <t>Effluent above 15 ppm may not be automatically diverted back to bilge/bilge tank.</t>
  </si>
  <si>
    <t>Illegal overboard discharge and environmental/regulatory consequences.</t>
  </si>
  <si>
    <t>Functional test of bilge alarm and automatic stopping device, high ppm alarm, valve-position feedback.</t>
  </si>
  <si>
    <t>Test ASD operation through recirculating/test arrangement; maintain valve actuator and alarm relay; verify fail-safe behaviour.</t>
  </si>
  <si>
    <t>Chief Engineer / OEM Service / Environmental Compliance</t>
  </si>
  <si>
    <t>OWS-L02</t>
  </si>
  <si>
    <t>Bypass / Recirculation Arrangement Misconfiguration</t>
  </si>
  <si>
    <t>Incorrect piping/valve configuration, unauthorized bypass, wrong recirculation setup, test arrangement misused or separator bypass not physically prevented.</t>
  </si>
  <si>
    <t>Oily mixture can bypass the OWS, bilge alarm or automatic stopping device.</t>
  </si>
  <si>
    <t>Non-compliant discharge and serious MARPOL violation risk.</t>
  </si>
  <si>
    <t>Physical tracing of piping, valve-line-up checks, test with overboard valve closed, comparison of flow meter and valve-position records.</t>
  </si>
  <si>
    <t>Install recirculating facility as required; lock/seal critical valves; perform routine line-up and bypass inspection.</t>
  </si>
  <si>
    <t>IMO MEPC.107(49); Dromon OWS Hints and Tips</t>
  </si>
  <si>
    <t>https://puc.overheid.nl/nsi/doc/PUC_2589_14/1/ ; https://www.dromon.com/2023/07/25/oily-water-separators-hints-and-tips/</t>
  </si>
  <si>
    <t>OWS-L03</t>
  </si>
  <si>
    <t>Separator Operated Above Rated Capacity</t>
  </si>
  <si>
    <t>Bilge pump capacity too high, outlet flow not restricted, flow-control failure or operator runs the system beyond certified separator capacity.</t>
  </si>
  <si>
    <t>Residence time and separation efficiency decrease; 15 ppm alarm may trip or compliant treatment may not be achieved.</t>
  </si>
  <si>
    <t>Repeated recirculation, delayed bilge processing, or risk of overboard discharge above limits.</t>
  </si>
  <si>
    <t>Discharge flow too high alarm, flow-meter trend, pump capacity check against type-approval certificate.</t>
  </si>
  <si>
    <t>Select pump capacity within limits, restrict outlet flow, maintain flow meter and VFD/control settings.</t>
  </si>
  <si>
    <t>OWS-L04</t>
  </si>
  <si>
    <t>Operation with Process Conditions Not Satisfied</t>
  </si>
  <si>
    <t>Feed temperature, feed pressure, separator speed or control permissives not satisfied; control logic recirculates rather than discharges.</t>
  </si>
  <si>
    <t>Bilge water is not sent to separation/discharge stage or is repeatedly recycled to tank.</t>
  </si>
  <si>
    <t>Processing delays, tank-level management problems and reduced OWS availability.</t>
  </si>
  <si>
    <t>Process condition alarms, recirculation status, low temperature/pressure/speed indicators.</t>
  </si>
  <si>
    <t>Maintain heaters, pumps, VFDs and process sensors; verify permissive logic and start-up procedure.</t>
  </si>
  <si>
    <t>Alfa Laval PureBilge White Paper</t>
  </si>
  <si>
    <t>https://www.alfalaval.com/globalassets/documents/products/separation/centrifugal-separators/alfa-laval-purebilge-white-paper.pdf</t>
  </si>
  <si>
    <t>OWS-A01</t>
  </si>
  <si>
    <t>Actuation/Interface Failure</t>
  </si>
  <si>
    <t>Three-Way Diverting Valve / ASD Valve Malfunction</t>
  </si>
  <si>
    <t>Solenoid valve, air valve, actuator, position feedback, relay output or valve body fails; valve sticks in overboard, recirculation or intermediate position.</t>
  </si>
  <si>
    <t>Automatic diversion of non-compliant effluent fails or discharge remains unavailable.</t>
  </si>
  <si>
    <t>Environmental non-compliance if stuck overboard; operational unavailability if stuck recirculation.</t>
  </si>
  <si>
    <t>Valve-position feedback, functional ASD test, alarm relay test, inspection of solenoid/air supply.</t>
  </si>
  <si>
    <t>Maintain actuator and valve, test fail-safe diversion, inspect solenoids and compressed-air/electrical supply.</t>
  </si>
  <si>
    <t>Chief Engineer / Electrical Officer / Engine Crew</t>
  </si>
  <si>
    <t>OWS-A02</t>
  </si>
  <si>
    <t>Bilge Feed Pump Failure or Low Suction/Discharge Flow</t>
  </si>
  <si>
    <t>Pump motor fault, clogged suction strainer, blocked suction pipe, air ingress, worn pump, wrong pump capacity or dry running.</t>
  </si>
  <si>
    <t>OWS receives insufficient or unstable feed; separator cannot process bilge water at expected rate.</t>
  </si>
  <si>
    <t>Bilge accumulation, repeated low-flow alarms, discharge delay and possible pump damage.</t>
  </si>
  <si>
    <t>Low flow/pressure indication, pump current, suction vacuum, strainer inspection, loss of separator throughput.</t>
  </si>
  <si>
    <t>Maintain pump and strainers, avoid dry running, verify pump capacity against OWS rating, repair suction leaks.</t>
  </si>
  <si>
    <t>RWO SKIT/S-DEB Installation, Operating and Maintenance Manual</t>
  </si>
  <si>
    <t>https://www.manualslib.com/manual/1336004/Rwo-Deb-0-1.html</t>
  </si>
  <si>
    <t>OWS-A03</t>
  </si>
  <si>
    <t>Sample Inlet Valve / Throttle / Solenoid Blockage</t>
  </si>
  <si>
    <t>Debris blocks sample inlet, solenoid port, throttle, sample tube or clean-water/sample switching valve.</t>
  </si>
  <si>
    <t>Insufficient sample flow through the OCM measuring cell; monitor cannot provide reliable oil-content signal.</t>
  </si>
  <si>
    <t>False alarm, discharge lockout or inaccurate control decision.</t>
  </si>
  <si>
    <t>Flow error, sample flow below required value, pressure difference across sample line, debris inspection.</t>
  </si>
  <si>
    <t>Flush sample lines, clean throttle/solenoid ports, install/maintain strainers and perform sample-flow checks.</t>
  </si>
  <si>
    <t>OWS-A04</t>
  </si>
  <si>
    <t>OCM Manual Clean / AutoClean / Wiper Mechanism Failure</t>
  </si>
  <si>
    <t>Manual clean plunger stuck, wiper ring worn, AutoClean not invoked or cleaning mechanism contaminated.</t>
  </si>
  <si>
    <t>Cell cleaning is ineffective; optical path remains obstructed and ppm reading stays inaccurate/high.</t>
  </si>
  <si>
    <t>Repeated alarms, failed zeroing and inability to discharge through monitored route.</t>
  </si>
  <si>
    <t>Plunger-down warning, manual-clean inspection, persistent high/inaccurate ppm reading after flushing.</t>
  </si>
  <si>
    <t>Operate cleaning mechanism before shutdown, clean plunger/wiper, replace worn wiper rings, schedule AutoClean/manual clean routines.</t>
  </si>
  <si>
    <t>OWS-A05</t>
  </si>
  <si>
    <t>Automatic Oil Drain / Oil-Discharge Valve Failure</t>
  </si>
  <si>
    <t>Oil level detector, solenoid/air valve, drain valve or automatic oil-discharge mechanism fails to remove separated oil.</t>
  </si>
  <si>
    <t>Accumulated oil reduces separation volume or is carried over to treated-water outlet.</t>
  </si>
  <si>
    <t>High ppm alarm, separator poor performance and increased risk of non-compliant discharge.</t>
  </si>
  <si>
    <t>Oil level alarm, oil-drain cycle failure, high ppm at outlet, inspection of oil-collection chamber.</t>
  </si>
  <si>
    <t>Test oil-level detector and discharge valve, maintain solenoids/air supply, drain oil according to manual.</t>
  </si>
  <si>
    <t>OWS-P01</t>
  </si>
  <si>
    <t>Process/Mechanical Failure</t>
  </si>
  <si>
    <t>Detergent or Solvent Contamination Creating Stable Emulsion</t>
  </si>
  <si>
    <t>Machinery-space cleaners, detergents, surfactants, solvents and cleaning residues enter bilge water and stabilize oil-in-water emulsions.</t>
  </si>
  <si>
    <t>Gravity/coalescer separation efficiency decreases and OCM may detect persistent oil-like emulsions.</t>
  </si>
  <si>
    <t>Effluent remains above 15 ppm; contaminated bilge may need segregation or shore reception.</t>
  </si>
  <si>
    <t>pH paper/alkalinity checks, odour, turbidity/cloudiness, persistent high ppm after treatment, sample before and after OWS.</t>
  </si>
  <si>
    <t>Segregate cleaners/solvents from bilge; use non-emulsifying cleaners; send heavily contaminated bilge to reception facility.</t>
  </si>
  <si>
    <t>Chief Engineer / 2nd Engineer / Engine Crew</t>
  </si>
  <si>
    <t>OWS-P02</t>
  </si>
  <si>
    <t>Shear-Induced Oil-in-Water Emulsion</t>
  </si>
  <si>
    <t>High-shear pumps, turbulent transfer, pressure drops and aggressive mixing break oil into small droplets that remain suspended.</t>
  </si>
  <si>
    <t>Oil droplets below gravity-separation/coalescer capability pass through treatment or are detected by OCM.</t>
  </si>
  <si>
    <t>Frequent high ppm alarms, recirculation and reduced discharge availability.</t>
  </si>
  <si>
    <t>Persistent emulsion in bilge sample, small droplet/cloudy appearance, high ppm after separator, comparison of pump type and transfer route.</t>
  </si>
  <si>
    <t>Use low-shear pumps where possible, minimize agitation, settle bilge before treatment, avoid unnecessary recirculation/turbulence.</t>
  </si>
  <si>
    <t>OWS-P03</t>
  </si>
  <si>
    <t>Rust / Rouge / Particulate Contamination</t>
  </si>
  <si>
    <t>Iron oxides, soot, rust, mud, biological contamination or other particulates enter the OWS or OCM sample.</t>
  </si>
  <si>
    <t>Particulates foul OCM optics, load filters/coalescers and may be interpreted as oil/turbidity.</t>
  </si>
  <si>
    <t>False high ppm readings, shortened filter/coalescer life and reduced separator performance.</t>
  </si>
  <si>
    <t>Visual sample inspection, black/red film on cell surfaces, turbidity, filter differential pressure, persistent non-zero OCM reading.</t>
  </si>
  <si>
    <t>Clean bilge/tanks, maintain strainers/filters, flush OCM cell, remove root causes of rust/biological contamination.</t>
  </si>
  <si>
    <t>OWS-P04</t>
  </si>
  <si>
    <t>Oil Shock / Excessive Oil Load</t>
  </si>
  <si>
    <t>Sudden high oil concentration, tank sludge disturbance, purifier-sludge/waste-oil carryover or bilge tank mixing sends an oil shock to the OWS.</t>
  </si>
  <si>
    <t>Separation stage becomes overloaded; treated-water oil content rises above the alarm limit.</t>
  </si>
  <si>
    <t>Recirculation, OWS shutdown, or possible non-compliant discharge if protection fails.</t>
  </si>
  <si>
    <t>Rapid high ppm increase, oil-layer observation in bilge/holding tank, separator alarm, flow/ppm trend.</t>
  </si>
  <si>
    <t>Settle and skim bilge tanks, avoid disturbing sludge, treat in batches, maintain oil drain and recirculation controls.</t>
  </si>
  <si>
    <t>OWS-P05</t>
  </si>
  <si>
    <t>Filter / Coalescer / Absorbent Element Saturation</t>
  </si>
  <si>
    <t>Coalescer media, polishing filter, absorbent element or membrane becomes loaded with oil, solids or chemicals.</t>
  </si>
  <si>
    <t>Differential pressure increases, treatment capacity decreases, and oil removal efficiency falls.</t>
  </si>
  <si>
    <t>High ppm alarm, frequent element replacement, reduced OWS availability.</t>
  </si>
  <si>
    <t>Differential pressure/vacuum increase, high ppm outlet, reduced flow, inspection of media/element condition.</t>
  </si>
  <si>
    <t>Replace elements by condition and manual intervals, prevent solids/detergent ingress, operate within rated flow and oil load.</t>
  </si>
  <si>
    <t>OWS-P06</t>
  </si>
  <si>
    <t>Suction Strainer / Basket Strainer Blockage</t>
  </si>
  <si>
    <t>Large particles, sludge, rags, rust flakes or tank debris block the suction strainer or pre-treatment basket strainer.</t>
  </si>
  <si>
    <t>Feed flow falls, suction vacuum rises and OWS process conditions are not maintained.</t>
  </si>
  <si>
    <t>Low-flow alarms, pump stress, reduced treatment capacity and discharge delays.</t>
  </si>
  <si>
    <t>High suction vacuum, low flow, strainer differential pressure, strainer inspection.</t>
  </si>
  <si>
    <t>Clean strainers regularly, prevent debris entry, inspect bilge tank and upstream piping condition.</t>
  </si>
  <si>
    <t>OWS-P07</t>
  </si>
  <si>
    <t>Insufficient Pre-Treatment Heating / Temperature Control Fault</t>
  </si>
  <si>
    <t>Heater, heat exchanger, temperature sensor, steam/electric supply or controller fails to reach required bilge-water treatment temperature.</t>
  </si>
  <si>
    <t>Emulsion breaking and separation efficiency decrease; process may stay in recirculation if temperature permissive is not met.</t>
  </si>
  <si>
    <t>High ppm outlet, delayed discharge and reduced OWS availability.</t>
  </si>
  <si>
    <t>Low feed temperature alarm, recirculation status, heater steam/electric checks, temperature trend.</t>
  </si>
  <si>
    <t>Maintain heater/heat exchanger, verify temperature sensor and control loop, clean fouled heat-transfer surfaces.</t>
  </si>
  <si>
    <t>OWS-P08</t>
  </si>
  <si>
    <t>Separator Speed / Centrifugal Separation Condition Not Met</t>
  </si>
  <si>
    <t>VFD fault, drive motor fault, bowl speed sensor fault, mechanical friction or controller permissive prevents required separator speed.</t>
  </si>
  <si>
    <t>Centrifugal separation cannot achieve intended performance; feed is recirculated or separation efficiency drops.</t>
  </si>
  <si>
    <t>No discharge, high ppm alarm or increased oily waste accumulation.</t>
  </si>
  <si>
    <t>Low-speed alarm, VFD status, process-condition permissive, separator-speed trend.</t>
  </si>
  <si>
    <t>Maintain drive/VFD, speed sensor and separator bearings; test permissive logic and start-up sequence.</t>
  </si>
  <si>
    <t>OWS-P09</t>
  </si>
  <si>
    <t>Representative Sampling Point Failure</t>
  </si>
  <si>
    <t>Sample point located incorrectly, dead leg/poor mixing, inadequate pressure/flow or sampling not taken close to the separator outlet.</t>
  </si>
  <si>
    <t>Bilge alarm sample does not represent actual separator effluent.</t>
  </si>
  <si>
    <t>False compliant or false non-compliant discharge decision; port-state-control deficiency risk.</t>
  </si>
  <si>
    <t>Inspection of sample-point location, pressure/flow test, comparison of sample and outlet condition.</t>
  </si>
  <si>
    <t>Install sample point in required vertical section near separator outlet; maintain sample piping and flow.</t>
  </si>
  <si>
    <t>IMO MEPC.107(49); DNV sampling-point guidance</t>
  </si>
  <si>
    <t>https://puc.overheid.nl/nsi/doc/PUC_2589_14/1/ ; https://www.dnv.com/news/2023/focus-for-psc-oily-water-separator-sampling-point-245071/</t>
  </si>
  <si>
    <t>OWS-M01</t>
  </si>
  <si>
    <t>Pipework Leak / Air Ingress on Suction or Sample Side</t>
  </si>
  <si>
    <t>Loose fittings, degraded seals, corroded pipework or leaking suction/sample-line connections draw air into the water stream.</t>
  </si>
  <si>
    <t>Pump cavitation or air bubbles in OCM sample reduce measurement and separation reliability.</t>
  </si>
  <si>
    <t>Erratic alarms, low flow, pump damage and poor treatment performance.</t>
  </si>
  <si>
    <t>Leak test, bubbles in sample, cavitation noise, unstable flow/pressure, erratic ppm reading.</t>
  </si>
  <si>
    <t>Repair leaks, replace seals, pressure-test lines, maintain sample and suction piping.</t>
  </si>
  <si>
    <t>IMO MEPC.1/Circ.677; Rivertrace SmartBilge+ Customer Manual</t>
  </si>
  <si>
    <t>https://puc.overheid.nl/nsi/doc/PUC_1677_14/1/ ; https://www.insatechmarine.com/media/2ukou4vw/im_smart-bilge_rivertrace_e.pdf</t>
  </si>
  <si>
    <t>OWS-M02</t>
  </si>
  <si>
    <t>Corrosion / Fouling of OWS Internal Surfaces</t>
  </si>
  <si>
    <t>Marine environment, stagnant bilge water, biological contamination, chemical cleaners and corrosion products foul internal surfaces, sensors and piping.</t>
  </si>
  <si>
    <t>Flow restriction, filter loading, OCM misreadings and degraded treatment performance.</t>
  </si>
  <si>
    <t>Increased maintenance, high ppm alarms and reduced OWS availability.</t>
  </si>
  <si>
    <t>Inspection of internals, pressure drop, repeated OCM contamination, rust/film in measuring cell.</t>
  </si>
  <si>
    <t>Flush after operation, clean internal parts, control bilge chemistry and corrosion, maintain filters and strainers.</t>
  </si>
  <si>
    <t>OWS-M03</t>
  </si>
  <si>
    <t>Overboard / Recirculation Valve Position Feedback Fault</t>
  </si>
  <si>
    <t>Limit switch, valve-position transmitter, wiring or mechanical linkage fails while valve movement still occurs or is uncertain.</t>
  </si>
  <si>
    <t>Controller/data recorder cannot verify whether flow is overboard or recirculated.</t>
  </si>
  <si>
    <t>Loss of compliance evidence and possible unsafe discharge state if actual position differs from command.</t>
  </si>
  <si>
    <t>Valve-position mismatch alarm, functional valve test, comparison of flow meter and valve status.</t>
  </si>
  <si>
    <t>Maintain valve feedback devices, perform proof testing and compare recorded valve position with physical valve status.</t>
  </si>
  <si>
    <t>OWS-H01</t>
  </si>
  <si>
    <t>Hardware Failure</t>
  </si>
  <si>
    <t>Power Supply / Fuse / Display Failure</t>
  </si>
  <si>
    <t>Isolated power, blown fuse, loose display/ribbon cable, failed LCD module, power supply fault or controller board failure.</t>
  </si>
  <si>
    <t>OWS monitor/control panel becomes blank or unavailable; alarms and discharge control may fail-safe.</t>
  </si>
  <si>
    <t>OWS unavailable for compliant discharge and troubleshooting required.</t>
  </si>
  <si>
    <t>Blank LCD, no power indication, fuse inspection, control-panel diagnostics.</t>
  </si>
  <si>
    <t>Maintain power supply, fuses and cable connections; test panel start-up; replace failed display/controller components.</t>
  </si>
  <si>
    <t>Electrical Officer / Chief Engineer / OEM Service</t>
  </si>
  <si>
    <t>OWS-H02</t>
  </si>
  <si>
    <t>Pump Motor / VFD / Drive Failure</t>
  </si>
  <si>
    <t>Motor starter trip, VFD fault, electrical overload, failed motor, wiring fault or control permissive prevents pump/separator drive operation.</t>
  </si>
  <si>
    <t>Bilge water is not transferred to the OWS or centrifugal separator does not run.</t>
  </si>
  <si>
    <t>Bilge accumulation and loss of onboard treatment capability.</t>
  </si>
  <si>
    <t>Motor/VFD alarm, current draw, starter status, no flow, process condition not satisfied.</t>
  </si>
  <si>
    <t>Maintain motors/VFDs/starters, inspect wiring, test overloads and perform preventive maintenance.</t>
  </si>
  <si>
    <t>OWS-H03</t>
  </si>
  <si>
    <t>Heater Electrical / Steam Control Failure</t>
  </si>
  <si>
    <t>Electric heater, steam valve, heat-exchanger control, temperature sensor, wiring or supply failure prevents pre-treatment heating.</t>
  </si>
  <si>
    <t>Bilge treatment temperature remains below required value; emulsions are not adequately broken down.</t>
  </si>
  <si>
    <t>High ppm outlet or continued recirculation until heating problem is corrected.</t>
  </si>
  <si>
    <t>Low temperature trend/alarm, heater current/steam supply check, recirculation status.</t>
  </si>
  <si>
    <t>Maintain heater and controls, clean heat exchanger, verify sensor calibration and steam/electric supply.</t>
  </si>
  <si>
    <t>OWS-C01</t>
  </si>
  <si>
    <t>Cyber Security Threat</t>
  </si>
  <si>
    <t>Unauthorized OCM / Data-Recorder Enclosure Access</t>
  </si>
  <si>
    <t>Unauthorized physical or logical access to the monitor/recorder, enclosure breach, attempt to modify recorded data or interfere with compliance logging.</t>
  </si>
  <si>
    <t>Integrity of oil-content, valve-position, flow, GPS and alarm records is compromised.</t>
  </si>
  <si>
    <t>Loss of trusted compliance evidence and increased risk of concealed illegal discharge.</t>
  </si>
  <si>
    <t>Enclosure breach alarm, tamper switch alarm, audit-log review, comparison against ORB and machinery logs.</t>
  </si>
  <si>
    <t>Use locked/tamper-evident enclosures, access control, audit logs, encrypted storage and periodic record review.</t>
  </si>
  <si>
    <t>Company Cybersecurity Officer / Chief Engineer / Electrical Officer</t>
  </si>
  <si>
    <t>OWS-C02</t>
  </si>
  <si>
    <t>Unauthorized Discharge Valve / ASD Control Manipulation</t>
  </si>
  <si>
    <t>Unauthorized change to PLC/relay logic, valve command, output forcing or control-system access prevents automatic diversion or forces overboard discharge.</t>
  </si>
  <si>
    <t>Automatic stopping device no longer performs as designed when oil content exceeds 15 ppm.</t>
  </si>
  <si>
    <t>illegal discharge and safety/security failure caused by compromised control function.</t>
  </si>
  <si>
    <t>Unexpected valve state, mismatch between OCM alarm and valve action, audit-log anomaly, control-system change review.</t>
  </si>
  <si>
    <t>Restrict engineering access, manage PLC changes, protect I/O forcing, test ASD after software changes and maintain cyber-resilient controls.</t>
  </si>
  <si>
    <t>IMO MEPC.107(49); IMO Maritime Cyber Risk Guidelines; IACS UR E27 Rev.1</t>
  </si>
  <si>
    <t>https://puc.overheid.nl/nsi/doc/PUC_2589_14/1/ ; https://wwwcdn.imo.org/localresources/en/OurWork/Security/Documents/MSC-FAL.1-Circ.3-Rev.3.pdf ; https://iacs.s3.af-south-1.amazonaws.com/wp-content/uploads/2022/05/29103854/UR-E27-Rev.1-Sep-2023-UL.pdf</t>
  </si>
  <si>
    <t>OWS-C03</t>
  </si>
  <si>
    <t>Unauthorized Threshold / Setpoint / Flow-Permissive Manipulation</t>
  </si>
  <si>
    <t>Unauthorized modification of oil-content threshold, flow limit, speed permissive, alarm relay setting or discharge-control parameter.</t>
  </si>
  <si>
    <t>System may allow discharge outside intended operating or regulatory limits or may unnecessarily block discharge.</t>
  </si>
  <si>
    <t>Non-compliance, loss of trust in automation and operational disruption.</t>
  </si>
  <si>
    <t>Configuration audit, alarm-setpoint review, comparison with type-approval/manual settings, change-log review.</t>
  </si>
  <si>
    <t>Role-based access, password management, configuration baseline, management of change and periodic setpoint verification.</t>
  </si>
  <si>
    <t>IMO MEPC.107(49); Rivertrace SmartBilge+ Customer Manual; IACS UR E27 Rev.1</t>
  </si>
  <si>
    <t>https://puc.overheid.nl/nsi/doc/PUC_2589_14/1/ ; https://www.insatechmarine.com/media/2ukou4vw/im_smart-bilge_rivertrace_e.pdf ; https://iacs.s3.af-south-1.amazonaws.com/wp-content/uploads/2022/05/29103854/UR-E27-Rev.1-Sep-2023-UL.pdf</t>
  </si>
  <si>
    <t>OWS-C04</t>
  </si>
  <si>
    <t>False Remote Status / OWS Data-Integrity Failure</t>
  </si>
  <si>
    <t>Data corruption, compromised network interface, faulty gateway or unauthorized manipulation causes false ppm, valve-position, GPS, flow or alarm status in remote monitoring.</t>
  </si>
  <si>
    <t>Operators or shore systems receive incorrect representation of OWS operation and discharge state.</t>
  </si>
  <si>
    <t>Delayed intervention, inaccurate compliance reporting and possible hidden abnormal operation.</t>
  </si>
  <si>
    <t>Cross-check local panel, recorder data, AMS values and physical valve/flow state; communication diagnostics.</t>
  </si>
  <si>
    <t>Segment OT network, authenticate data paths, maintain local independent records, test remote indications and apply cyber monitoring.</t>
  </si>
  <si>
    <t>IMO Maritime Cyber Risk Guidelines; IACS UR E27 Rev.1; Alfa Laval PureBilge White Paper</t>
  </si>
  <si>
    <t>https://wwwcdn.imo.org/localresources/en/OurWork/Security/Documents/MSC-FAL.1-Circ.3-Rev.3.pdf ; https://iacs.s3.af-south-1.amazonaws.com/wp-content/uploads/2022/05/29103854/UR-E27-Rev.1-Sep-2023-UL.pdf ; https://www.alfalaval.com/globalassets/documents/products/separation/centrifugal-separators/alfa-laval-purebilge-white-paper.pdf</t>
  </si>
  <si>
    <t>OWS-C05</t>
  </si>
  <si>
    <t>OCM Sample / Flushing-Water Manipulation Producing False Clean Reading</t>
  </si>
  <si>
    <t>Sample supply valve is closed, flushing/clean water is introduced to the oil-content monitor, or the sample path is manipulated so that the OCM receives clean water instead of representative separator effluent.</t>
  </si>
  <si>
    <t>The OCM may indicate less than 15 ppm even when the actual oily-water discharge exceeds the limit; the automatic stopping/diverting function may therefore not represent the true discharge condition.</t>
  </si>
  <si>
    <t>Concealed non-compliant overboard discharge, loss of environmental compliance evidence and increased exposure to port-state-control or legal action.</t>
  </si>
  <si>
    <t>Review sample-valve positions, clean-water/zeroing alarms, OCM zeroing events and recorder history; compare OCM readings with physical valve state, flow path and grab-sample checks; inspect discharge piping where illegal operation is suspected.</t>
  </si>
  <si>
    <t>Seal or lock sample and flushing-water valves where appropriate; ensure clean-water cleaning/zeroing activates the bilge alarm as required; restrict access to OCM/sample-line configuration and periodically verify representative sampling.</t>
  </si>
  <si>
    <t>Dromon OWS Hints and Tips; IMO MEPC.107(49)</t>
  </si>
  <si>
    <t>https://www.dromon.com/2023/07/25/oily-water-separators-hints-and-tips/ ; https://puc.overheid.nl/nsi/doc/PUC_2589_14/1/</t>
  </si>
  <si>
    <t>OWS-C06</t>
  </si>
  <si>
    <t>Electronic Discharge Record / ORB Evidence Tampering</t>
  </si>
  <si>
    <t>Recorded OWS operating data, electronic discharge logs, oil-content history, valve-position records, flow/GPS data or Oil Record Book entries are altered, deleted, falsified or made inconsistent with actual OWS operation.</t>
  </si>
  <si>
    <t>The system no longer provides trustworthy evidence of discharge events, alarm state, operating status or overboard-flow conditions.</t>
  </si>
  <si>
    <t>Loss of auditable compliance evidence, concealed illegal discharge and exposure to regulatory, legal and reputational consequences.</t>
  </si>
  <si>
    <t>Compare electronic recorder data with Oil Record Book entries, machinery logs, GPS/flow/valve-position history, alarm history and maintenance records; review gaps, overwritten records or inconsistent discharge timelines.</t>
  </si>
  <si>
    <t>Use tamper-proof or encrypted recording, access control, sealed enclosures, periodic data export/review, management of change for recorder settings and crew procedures for accurate ORB entries.</t>
  </si>
  <si>
    <t>Alfa Laval PureBilge White Paper; IMO MEPC.107(49); IMO Maritime Cyber Risk Guidelines</t>
  </si>
  <si>
    <t>https://www.alfalaval.com/globalassets/documents/products/separation/centrifugal-separators/alfa-laval-purebilge-white-paper.pdf ; https://puc.overheid.nl/nsi/doc/PUC_2589_14/1/ ; https://wwwcdn.imo.org/localresources/en/OurWork/Security/Documents/MSC-FAL.1-Circ.3-Rev.3.pdf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</si>
</sst>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1" fontId="0" fillId="0" borderId="0" xfId="0" applyNumberForma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WS_FMs" displayName="OWS_FMs" ref="A1:N40">
  <tableColumns count="14">
    <tableColumn id="1" xr3:uid="{00000000-0010-0000-0000-000001000000}" name="FM ID"/>
    <tableColumn id="2" xr3:uid="{00000000-0010-0000-0000-000002000000}" name="FM Class"/>
    <tableColumn id="3" xr3:uid="{00000000-0010-0000-0000-000003000000}" name="Failure Mode (FM)"/>
    <tableColumn id="4" xr3:uid="{00000000-0010-0000-0000-000004000000}" name="Potential Causes &amp; Mechanism(s) of the FM"/>
    <tableColumn id="5" xr3:uid="{00000000-0010-0000-0000-000005000000}" name="Potential Technical Effects of the FM"/>
    <tableColumn id="6" xr3:uid="{00000000-0010-0000-0000-000006000000}" name="Potential Consequences of the FM"/>
    <tableColumn id="7" xr3:uid="{00000000-0010-0000-0000-000007000000}" name="Severity (1-10)"/>
    <tableColumn id="8" xr3:uid="{00000000-0010-0000-0000-000008000000}" name="Probability (1-10)"/>
    <tableColumn id="9" xr3:uid="{00000000-0010-0000-0000-000009000000}" name="RPN (S x P)"/>
    <tableColumn id="10" xr3:uid="{00000000-0010-0000-0000-00000A000000}" name="Detective Controls"/>
    <tableColumn id="11" xr3:uid="{00000000-0010-0000-0000-00000B000000}" name="Preventive Controls"/>
    <tableColumn id="12" xr3:uid="{00000000-0010-0000-0000-00000C000000}" name="Responsibility"/>
    <tableColumn id="13" xr3:uid="{00000000-0010-0000-0000-00000D000000}" name="Source"/>
    <tableColumn id="14" xr3:uid="{00000000-0010-0000-0000-00000E000000}" name="Link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tabSelected="1" topLeftCell="C1" workbookViewId="0">
      <selection activeCell="D3" sqref="D3"/>
    </sheetView>
  </sheetViews>
  <sheetFormatPr defaultRowHeight="15" x14ac:dyDescent="0.25"/>
  <cols>
    <col min="1" max="1" width="12" customWidth="1"/>
    <col min="2" max="2" width="24" customWidth="1"/>
    <col min="3" max="3" width="34" customWidth="1"/>
    <col min="4" max="4" width="48" customWidth="1"/>
    <col min="5" max="6" width="44" customWidth="1"/>
    <col min="7" max="8" width="12" customWidth="1"/>
    <col min="9" max="9" width="10" customWidth="1"/>
    <col min="10" max="11" width="44" customWidth="1"/>
    <col min="12" max="12" width="32" customWidth="1"/>
    <col min="13" max="13" width="34" customWidth="1"/>
    <col min="14" max="14" width="56" customWidth="1"/>
  </cols>
  <sheetData>
    <row r="1" spans="1:14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5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3">
        <v>8</v>
      </c>
      <c r="H2" s="3">
        <v>4</v>
      </c>
      <c r="I2" s="3">
        <f t="shared" ref="I2:I40" si="0">G2*H2</f>
        <v>32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</row>
    <row r="3" spans="1:14" ht="45" x14ac:dyDescent="0.25">
      <c r="A3" s="2" t="s">
        <v>25</v>
      </c>
      <c r="B3" s="2" t="s">
        <v>15</v>
      </c>
      <c r="C3" s="2" t="s">
        <v>26</v>
      </c>
      <c r="D3" s="2" t="s">
        <v>27</v>
      </c>
      <c r="E3" s="2" t="s">
        <v>28</v>
      </c>
      <c r="F3" s="2" t="s">
        <v>29</v>
      </c>
      <c r="G3" s="3">
        <v>9</v>
      </c>
      <c r="H3" s="3">
        <v>3</v>
      </c>
      <c r="I3" s="3">
        <f t="shared" si="0"/>
        <v>27</v>
      </c>
      <c r="J3" s="2" t="s">
        <v>30</v>
      </c>
      <c r="K3" s="2" t="s">
        <v>31</v>
      </c>
      <c r="L3" s="2" t="s">
        <v>22</v>
      </c>
      <c r="M3" s="2" t="s">
        <v>32</v>
      </c>
      <c r="N3" s="2" t="s">
        <v>33</v>
      </c>
    </row>
    <row r="4" spans="1:14" ht="45" x14ac:dyDescent="0.25">
      <c r="A4" s="2" t="s">
        <v>34</v>
      </c>
      <c r="B4" s="2" t="s">
        <v>15</v>
      </c>
      <c r="C4" s="2" t="s">
        <v>35</v>
      </c>
      <c r="D4" s="2" t="s">
        <v>36</v>
      </c>
      <c r="E4" s="2" t="s">
        <v>37</v>
      </c>
      <c r="F4" s="2" t="s">
        <v>38</v>
      </c>
      <c r="G4" s="3">
        <v>8</v>
      </c>
      <c r="H4" s="3">
        <v>4</v>
      </c>
      <c r="I4" s="3">
        <f t="shared" si="0"/>
        <v>32</v>
      </c>
      <c r="J4" s="2" t="s">
        <v>39</v>
      </c>
      <c r="K4" s="2" t="s">
        <v>40</v>
      </c>
      <c r="L4" s="2" t="s">
        <v>22</v>
      </c>
      <c r="M4" s="2" t="s">
        <v>41</v>
      </c>
      <c r="N4" s="2" t="s">
        <v>42</v>
      </c>
    </row>
    <row r="5" spans="1:14" ht="45" x14ac:dyDescent="0.25">
      <c r="A5" s="2" t="s">
        <v>43</v>
      </c>
      <c r="B5" s="2" t="s">
        <v>15</v>
      </c>
      <c r="C5" s="2" t="s">
        <v>44</v>
      </c>
      <c r="D5" s="2" t="s">
        <v>45</v>
      </c>
      <c r="E5" s="2" t="s">
        <v>46</v>
      </c>
      <c r="F5" s="2" t="s">
        <v>47</v>
      </c>
      <c r="G5" s="3">
        <v>6</v>
      </c>
      <c r="H5" s="3">
        <v>5</v>
      </c>
      <c r="I5" s="3">
        <f t="shared" si="0"/>
        <v>30</v>
      </c>
      <c r="J5" s="2" t="s">
        <v>48</v>
      </c>
      <c r="K5" s="2" t="s">
        <v>49</v>
      </c>
      <c r="L5" s="2" t="s">
        <v>22</v>
      </c>
      <c r="M5" s="2" t="s">
        <v>50</v>
      </c>
      <c r="N5" s="2" t="s">
        <v>51</v>
      </c>
    </row>
    <row r="6" spans="1:14" ht="45" x14ac:dyDescent="0.25">
      <c r="A6" s="2" t="s">
        <v>52</v>
      </c>
      <c r="B6" s="2" t="s">
        <v>15</v>
      </c>
      <c r="C6" s="2" t="s">
        <v>53</v>
      </c>
      <c r="D6" s="2" t="s">
        <v>54</v>
      </c>
      <c r="E6" s="2" t="s">
        <v>55</v>
      </c>
      <c r="F6" s="2" t="s">
        <v>56</v>
      </c>
      <c r="G6" s="3">
        <v>8</v>
      </c>
      <c r="H6" s="3">
        <v>3</v>
      </c>
      <c r="I6" s="3">
        <f t="shared" si="0"/>
        <v>24</v>
      </c>
      <c r="J6" s="2" t="s">
        <v>57</v>
      </c>
      <c r="K6" s="2" t="s">
        <v>58</v>
      </c>
      <c r="L6" s="2" t="s">
        <v>22</v>
      </c>
      <c r="M6" s="2" t="s">
        <v>23</v>
      </c>
      <c r="N6" s="2" t="s">
        <v>24</v>
      </c>
    </row>
    <row r="7" spans="1:14" ht="45" x14ac:dyDescent="0.25">
      <c r="A7" s="2" t="s">
        <v>59</v>
      </c>
      <c r="B7" s="2" t="s">
        <v>15</v>
      </c>
      <c r="C7" s="2" t="s">
        <v>60</v>
      </c>
      <c r="D7" s="2" t="s">
        <v>61</v>
      </c>
      <c r="E7" s="2" t="s">
        <v>62</v>
      </c>
      <c r="F7" s="2" t="s">
        <v>63</v>
      </c>
      <c r="G7" s="3">
        <v>6</v>
      </c>
      <c r="H7" s="3">
        <v>3</v>
      </c>
      <c r="I7" s="3">
        <f t="shared" si="0"/>
        <v>18</v>
      </c>
      <c r="J7" s="2" t="s">
        <v>64</v>
      </c>
      <c r="K7" s="2" t="s">
        <v>65</v>
      </c>
      <c r="L7" s="2" t="s">
        <v>22</v>
      </c>
      <c r="M7" s="2" t="s">
        <v>23</v>
      </c>
      <c r="N7" s="2" t="s">
        <v>24</v>
      </c>
    </row>
    <row r="8" spans="1:14" ht="45" x14ac:dyDescent="0.25">
      <c r="A8" s="2" t="s">
        <v>66</v>
      </c>
      <c r="B8" s="2" t="s">
        <v>15</v>
      </c>
      <c r="C8" s="2" t="s">
        <v>67</v>
      </c>
      <c r="D8" s="2" t="s">
        <v>68</v>
      </c>
      <c r="E8" s="2" t="s">
        <v>69</v>
      </c>
      <c r="F8" s="2" t="s">
        <v>70</v>
      </c>
      <c r="G8" s="3">
        <v>8</v>
      </c>
      <c r="H8" s="3">
        <v>3</v>
      </c>
      <c r="I8" s="3">
        <f t="shared" si="0"/>
        <v>24</v>
      </c>
      <c r="J8" s="2" t="s">
        <v>71</v>
      </c>
      <c r="K8" s="2" t="s">
        <v>72</v>
      </c>
      <c r="L8" s="2" t="s">
        <v>22</v>
      </c>
      <c r="M8" s="2" t="s">
        <v>41</v>
      </c>
      <c r="N8" s="2" t="s">
        <v>42</v>
      </c>
    </row>
    <row r="9" spans="1:14" ht="45" x14ac:dyDescent="0.25">
      <c r="A9" s="2" t="s">
        <v>73</v>
      </c>
      <c r="B9" s="2" t="s">
        <v>74</v>
      </c>
      <c r="C9" s="2" t="s">
        <v>75</v>
      </c>
      <c r="D9" s="2" t="s">
        <v>76</v>
      </c>
      <c r="E9" s="2" t="s">
        <v>77</v>
      </c>
      <c r="F9" s="2" t="s">
        <v>78</v>
      </c>
      <c r="G9" s="3">
        <v>7</v>
      </c>
      <c r="H9" s="3">
        <v>3</v>
      </c>
      <c r="I9" s="3">
        <f t="shared" si="0"/>
        <v>21</v>
      </c>
      <c r="J9" s="2" t="s">
        <v>79</v>
      </c>
      <c r="K9" s="2" t="s">
        <v>80</v>
      </c>
      <c r="L9" s="2" t="s">
        <v>81</v>
      </c>
      <c r="M9" s="2" t="s">
        <v>23</v>
      </c>
      <c r="N9" s="2" t="s">
        <v>24</v>
      </c>
    </row>
    <row r="10" spans="1:14" ht="45" x14ac:dyDescent="0.25">
      <c r="A10" s="2" t="s">
        <v>82</v>
      </c>
      <c r="B10" s="2" t="s">
        <v>74</v>
      </c>
      <c r="C10" s="2" t="s">
        <v>83</v>
      </c>
      <c r="D10" s="2" t="s">
        <v>84</v>
      </c>
      <c r="E10" s="2" t="s">
        <v>85</v>
      </c>
      <c r="F10" s="2" t="s">
        <v>86</v>
      </c>
      <c r="G10" s="3">
        <v>7</v>
      </c>
      <c r="H10" s="3">
        <v>3</v>
      </c>
      <c r="I10" s="3">
        <f t="shared" si="0"/>
        <v>21</v>
      </c>
      <c r="J10" s="2" t="s">
        <v>87</v>
      </c>
      <c r="K10" s="2" t="s">
        <v>88</v>
      </c>
      <c r="L10" s="2" t="s">
        <v>81</v>
      </c>
      <c r="M10" s="2" t="s">
        <v>41</v>
      </c>
      <c r="N10" s="2" t="s">
        <v>42</v>
      </c>
    </row>
    <row r="11" spans="1:14" ht="45" x14ac:dyDescent="0.25">
      <c r="A11" s="2" t="s">
        <v>89</v>
      </c>
      <c r="B11" s="2" t="s">
        <v>90</v>
      </c>
      <c r="C11" s="2" t="s">
        <v>91</v>
      </c>
      <c r="D11" s="2" t="s">
        <v>92</v>
      </c>
      <c r="E11" s="2" t="s">
        <v>93</v>
      </c>
      <c r="F11" s="2" t="s">
        <v>94</v>
      </c>
      <c r="G11" s="3">
        <v>10</v>
      </c>
      <c r="H11" s="3">
        <v>3</v>
      </c>
      <c r="I11" s="3">
        <f t="shared" si="0"/>
        <v>30</v>
      </c>
      <c r="J11" s="2" t="s">
        <v>95</v>
      </c>
      <c r="K11" s="2" t="s">
        <v>96</v>
      </c>
      <c r="L11" s="2" t="s">
        <v>97</v>
      </c>
      <c r="M11" s="2" t="s">
        <v>32</v>
      </c>
      <c r="N11" s="2" t="s">
        <v>33</v>
      </c>
    </row>
    <row r="12" spans="1:14" ht="45" x14ac:dyDescent="0.25">
      <c r="A12" s="2" t="s">
        <v>98</v>
      </c>
      <c r="B12" s="2" t="s">
        <v>90</v>
      </c>
      <c r="C12" s="2" t="s">
        <v>99</v>
      </c>
      <c r="D12" s="2" t="s">
        <v>100</v>
      </c>
      <c r="E12" s="2" t="s">
        <v>101</v>
      </c>
      <c r="F12" s="2" t="s">
        <v>102</v>
      </c>
      <c r="G12" s="3">
        <v>10</v>
      </c>
      <c r="H12" s="3">
        <v>3</v>
      </c>
      <c r="I12" s="3">
        <f t="shared" si="0"/>
        <v>30</v>
      </c>
      <c r="J12" s="2" t="s">
        <v>103</v>
      </c>
      <c r="K12" s="2" t="s">
        <v>104</v>
      </c>
      <c r="L12" s="2" t="s">
        <v>97</v>
      </c>
      <c r="M12" s="2" t="s">
        <v>105</v>
      </c>
      <c r="N12" s="2" t="s">
        <v>106</v>
      </c>
    </row>
    <row r="13" spans="1:14" ht="45" x14ac:dyDescent="0.25">
      <c r="A13" s="2" t="s">
        <v>107</v>
      </c>
      <c r="B13" s="2" t="s">
        <v>90</v>
      </c>
      <c r="C13" s="2" t="s">
        <v>108</v>
      </c>
      <c r="D13" s="2" t="s">
        <v>109</v>
      </c>
      <c r="E13" s="2" t="s">
        <v>110</v>
      </c>
      <c r="F13" s="2" t="s">
        <v>111</v>
      </c>
      <c r="G13" s="3">
        <v>8</v>
      </c>
      <c r="H13" s="3">
        <v>3</v>
      </c>
      <c r="I13" s="3">
        <f t="shared" si="0"/>
        <v>24</v>
      </c>
      <c r="J13" s="2" t="s">
        <v>112</v>
      </c>
      <c r="K13" s="2" t="s">
        <v>113</v>
      </c>
      <c r="L13" s="2" t="s">
        <v>97</v>
      </c>
      <c r="M13" s="2" t="s">
        <v>41</v>
      </c>
      <c r="N13" s="2" t="s">
        <v>42</v>
      </c>
    </row>
    <row r="14" spans="1:14" ht="45" x14ac:dyDescent="0.25">
      <c r="A14" s="2" t="s">
        <v>114</v>
      </c>
      <c r="B14" s="2" t="s">
        <v>90</v>
      </c>
      <c r="C14" s="2" t="s">
        <v>115</v>
      </c>
      <c r="D14" s="2" t="s">
        <v>116</v>
      </c>
      <c r="E14" s="2" t="s">
        <v>117</v>
      </c>
      <c r="F14" s="2" t="s">
        <v>118</v>
      </c>
      <c r="G14" s="3">
        <v>6</v>
      </c>
      <c r="H14" s="3">
        <v>4</v>
      </c>
      <c r="I14" s="3">
        <f t="shared" si="0"/>
        <v>24</v>
      </c>
      <c r="J14" s="2" t="s">
        <v>119</v>
      </c>
      <c r="K14" s="2" t="s">
        <v>120</v>
      </c>
      <c r="L14" s="2" t="s">
        <v>97</v>
      </c>
      <c r="M14" s="2" t="s">
        <v>121</v>
      </c>
      <c r="N14" s="2" t="s">
        <v>122</v>
      </c>
    </row>
    <row r="15" spans="1:14" ht="45" x14ac:dyDescent="0.25">
      <c r="A15" s="2" t="s">
        <v>123</v>
      </c>
      <c r="B15" s="2" t="s">
        <v>124</v>
      </c>
      <c r="C15" s="2" t="s">
        <v>125</v>
      </c>
      <c r="D15" s="2" t="s">
        <v>126</v>
      </c>
      <c r="E15" s="2" t="s">
        <v>127</v>
      </c>
      <c r="F15" s="2" t="s">
        <v>128</v>
      </c>
      <c r="G15" s="3">
        <v>10</v>
      </c>
      <c r="H15" s="3">
        <v>3</v>
      </c>
      <c r="I15" s="3">
        <f t="shared" si="0"/>
        <v>30</v>
      </c>
      <c r="J15" s="2" t="s">
        <v>129</v>
      </c>
      <c r="K15" s="2" t="s">
        <v>130</v>
      </c>
      <c r="L15" s="2" t="s">
        <v>131</v>
      </c>
      <c r="M15" s="2" t="s">
        <v>41</v>
      </c>
      <c r="N15" s="2" t="s">
        <v>42</v>
      </c>
    </row>
    <row r="16" spans="1:14" ht="45" x14ac:dyDescent="0.25">
      <c r="A16" s="2" t="s">
        <v>132</v>
      </c>
      <c r="B16" s="2" t="s">
        <v>124</v>
      </c>
      <c r="C16" s="2" t="s">
        <v>133</v>
      </c>
      <c r="D16" s="2" t="s">
        <v>134</v>
      </c>
      <c r="E16" s="2" t="s">
        <v>135</v>
      </c>
      <c r="F16" s="2" t="s">
        <v>136</v>
      </c>
      <c r="G16" s="3">
        <v>7</v>
      </c>
      <c r="H16" s="3">
        <v>4</v>
      </c>
      <c r="I16" s="3">
        <f t="shared" si="0"/>
        <v>28</v>
      </c>
      <c r="J16" s="2" t="s">
        <v>137</v>
      </c>
      <c r="K16" s="2" t="s">
        <v>138</v>
      </c>
      <c r="L16" s="2" t="s">
        <v>131</v>
      </c>
      <c r="M16" s="2" t="s">
        <v>139</v>
      </c>
      <c r="N16" s="2" t="s">
        <v>140</v>
      </c>
    </row>
    <row r="17" spans="1:14" ht="45" x14ac:dyDescent="0.25">
      <c r="A17" s="2" t="s">
        <v>141</v>
      </c>
      <c r="B17" s="2" t="s">
        <v>124</v>
      </c>
      <c r="C17" s="2" t="s">
        <v>142</v>
      </c>
      <c r="D17" s="2" t="s">
        <v>143</v>
      </c>
      <c r="E17" s="2" t="s">
        <v>144</v>
      </c>
      <c r="F17" s="2" t="s">
        <v>145</v>
      </c>
      <c r="G17" s="3">
        <v>7</v>
      </c>
      <c r="H17" s="3">
        <v>4</v>
      </c>
      <c r="I17" s="3">
        <f t="shared" si="0"/>
        <v>28</v>
      </c>
      <c r="J17" s="2" t="s">
        <v>146</v>
      </c>
      <c r="K17" s="2" t="s">
        <v>147</v>
      </c>
      <c r="L17" s="2" t="s">
        <v>131</v>
      </c>
      <c r="M17" s="2" t="s">
        <v>23</v>
      </c>
      <c r="N17" s="2" t="s">
        <v>24</v>
      </c>
    </row>
    <row r="18" spans="1:14" ht="45" x14ac:dyDescent="0.25">
      <c r="A18" s="2" t="s">
        <v>148</v>
      </c>
      <c r="B18" s="2" t="s">
        <v>124</v>
      </c>
      <c r="C18" s="2" t="s">
        <v>149</v>
      </c>
      <c r="D18" s="2" t="s">
        <v>150</v>
      </c>
      <c r="E18" s="2" t="s">
        <v>151</v>
      </c>
      <c r="F18" s="2" t="s">
        <v>152</v>
      </c>
      <c r="G18" s="3">
        <v>6</v>
      </c>
      <c r="H18" s="3">
        <v>3</v>
      </c>
      <c r="I18" s="3">
        <f t="shared" si="0"/>
        <v>18</v>
      </c>
      <c r="J18" s="2" t="s">
        <v>153</v>
      </c>
      <c r="K18" s="2" t="s">
        <v>154</v>
      </c>
      <c r="L18" s="2" t="s">
        <v>131</v>
      </c>
      <c r="M18" s="2" t="s">
        <v>23</v>
      </c>
      <c r="N18" s="2" t="s">
        <v>24</v>
      </c>
    </row>
    <row r="19" spans="1:14" ht="30" x14ac:dyDescent="0.25">
      <c r="A19" s="2" t="s">
        <v>155</v>
      </c>
      <c r="B19" s="2" t="s">
        <v>124</v>
      </c>
      <c r="C19" s="2" t="s">
        <v>156</v>
      </c>
      <c r="D19" s="2" t="s">
        <v>157</v>
      </c>
      <c r="E19" s="2" t="s">
        <v>158</v>
      </c>
      <c r="F19" s="2" t="s">
        <v>159</v>
      </c>
      <c r="G19" s="3">
        <v>6</v>
      </c>
      <c r="H19" s="3">
        <v>3</v>
      </c>
      <c r="I19" s="3">
        <f t="shared" si="0"/>
        <v>18</v>
      </c>
      <c r="J19" s="2" t="s">
        <v>160</v>
      </c>
      <c r="K19" s="2" t="s">
        <v>161</v>
      </c>
      <c r="L19" s="2" t="s">
        <v>131</v>
      </c>
      <c r="M19" s="2" t="s">
        <v>139</v>
      </c>
      <c r="N19" s="2" t="s">
        <v>140</v>
      </c>
    </row>
    <row r="20" spans="1:14" ht="45" x14ac:dyDescent="0.25">
      <c r="A20" s="2" t="s">
        <v>162</v>
      </c>
      <c r="B20" s="2" t="s">
        <v>163</v>
      </c>
      <c r="C20" s="2" t="s">
        <v>164</v>
      </c>
      <c r="D20" s="2" t="s">
        <v>165</v>
      </c>
      <c r="E20" s="2" t="s">
        <v>166</v>
      </c>
      <c r="F20" s="2" t="s">
        <v>167</v>
      </c>
      <c r="G20" s="3">
        <v>8</v>
      </c>
      <c r="H20" s="3">
        <v>5</v>
      </c>
      <c r="I20" s="3">
        <f t="shared" si="0"/>
        <v>40</v>
      </c>
      <c r="J20" s="2" t="s">
        <v>168</v>
      </c>
      <c r="K20" s="2" t="s">
        <v>169</v>
      </c>
      <c r="L20" s="2" t="s">
        <v>170</v>
      </c>
      <c r="M20" s="2" t="s">
        <v>50</v>
      </c>
      <c r="N20" s="2" t="s">
        <v>51</v>
      </c>
    </row>
    <row r="21" spans="1:14" ht="45" x14ac:dyDescent="0.25">
      <c r="A21" s="2" t="s">
        <v>171</v>
      </c>
      <c r="B21" s="2" t="s">
        <v>163</v>
      </c>
      <c r="C21" s="2" t="s">
        <v>172</v>
      </c>
      <c r="D21" s="2" t="s">
        <v>173</v>
      </c>
      <c r="E21" s="2" t="s">
        <v>174</v>
      </c>
      <c r="F21" s="2" t="s">
        <v>175</v>
      </c>
      <c r="G21" s="3">
        <v>7</v>
      </c>
      <c r="H21" s="3">
        <v>5</v>
      </c>
      <c r="I21" s="3">
        <f t="shared" si="0"/>
        <v>35</v>
      </c>
      <c r="J21" s="2" t="s">
        <v>176</v>
      </c>
      <c r="K21" s="2" t="s">
        <v>177</v>
      </c>
      <c r="L21" s="2" t="s">
        <v>170</v>
      </c>
      <c r="M21" s="2" t="s">
        <v>50</v>
      </c>
      <c r="N21" s="2" t="s">
        <v>51</v>
      </c>
    </row>
    <row r="22" spans="1:14" ht="45" x14ac:dyDescent="0.25">
      <c r="A22" s="2" t="s">
        <v>178</v>
      </c>
      <c r="B22" s="2" t="s">
        <v>163</v>
      </c>
      <c r="C22" s="2" t="s">
        <v>179</v>
      </c>
      <c r="D22" s="2" t="s">
        <v>180</v>
      </c>
      <c r="E22" s="2" t="s">
        <v>181</v>
      </c>
      <c r="F22" s="2" t="s">
        <v>182</v>
      </c>
      <c r="G22" s="3">
        <v>6</v>
      </c>
      <c r="H22" s="3">
        <v>5</v>
      </c>
      <c r="I22" s="3">
        <f t="shared" si="0"/>
        <v>30</v>
      </c>
      <c r="J22" s="2" t="s">
        <v>183</v>
      </c>
      <c r="K22" s="2" t="s">
        <v>184</v>
      </c>
      <c r="L22" s="2" t="s">
        <v>170</v>
      </c>
      <c r="M22" s="2" t="s">
        <v>50</v>
      </c>
      <c r="N22" s="2" t="s">
        <v>51</v>
      </c>
    </row>
    <row r="23" spans="1:14" ht="45" x14ac:dyDescent="0.25">
      <c r="A23" s="2" t="s">
        <v>185</v>
      </c>
      <c r="B23" s="2" t="s">
        <v>163</v>
      </c>
      <c r="C23" s="2" t="s">
        <v>186</v>
      </c>
      <c r="D23" s="2" t="s">
        <v>187</v>
      </c>
      <c r="E23" s="2" t="s">
        <v>188</v>
      </c>
      <c r="F23" s="2" t="s">
        <v>189</v>
      </c>
      <c r="G23" s="3">
        <v>8</v>
      </c>
      <c r="H23" s="3">
        <v>3</v>
      </c>
      <c r="I23" s="3">
        <f t="shared" si="0"/>
        <v>24</v>
      </c>
      <c r="J23" s="2" t="s">
        <v>190</v>
      </c>
      <c r="K23" s="2" t="s">
        <v>191</v>
      </c>
      <c r="L23" s="2" t="s">
        <v>170</v>
      </c>
      <c r="M23" s="2" t="s">
        <v>121</v>
      </c>
      <c r="N23" s="2" t="s">
        <v>122</v>
      </c>
    </row>
    <row r="24" spans="1:14" ht="45" x14ac:dyDescent="0.25">
      <c r="A24" s="2" t="s">
        <v>192</v>
      </c>
      <c r="B24" s="2" t="s">
        <v>163</v>
      </c>
      <c r="C24" s="2" t="s">
        <v>193</v>
      </c>
      <c r="D24" s="2" t="s">
        <v>194</v>
      </c>
      <c r="E24" s="2" t="s">
        <v>195</v>
      </c>
      <c r="F24" s="2" t="s">
        <v>196</v>
      </c>
      <c r="G24" s="3">
        <v>7</v>
      </c>
      <c r="H24" s="3">
        <v>4</v>
      </c>
      <c r="I24" s="3">
        <f t="shared" si="0"/>
        <v>28</v>
      </c>
      <c r="J24" s="2" t="s">
        <v>197</v>
      </c>
      <c r="K24" s="2" t="s">
        <v>198</v>
      </c>
      <c r="L24" s="2" t="s">
        <v>170</v>
      </c>
      <c r="M24" s="2" t="s">
        <v>139</v>
      </c>
      <c r="N24" s="2" t="s">
        <v>140</v>
      </c>
    </row>
    <row r="25" spans="1:14" ht="30" x14ac:dyDescent="0.25">
      <c r="A25" s="2" t="s">
        <v>199</v>
      </c>
      <c r="B25" s="2" t="s">
        <v>163</v>
      </c>
      <c r="C25" s="2" t="s">
        <v>200</v>
      </c>
      <c r="D25" s="2" t="s">
        <v>201</v>
      </c>
      <c r="E25" s="2" t="s">
        <v>202</v>
      </c>
      <c r="F25" s="2" t="s">
        <v>203</v>
      </c>
      <c r="G25" s="3">
        <v>6</v>
      </c>
      <c r="H25" s="3">
        <v>5</v>
      </c>
      <c r="I25" s="3">
        <f t="shared" si="0"/>
        <v>30</v>
      </c>
      <c r="J25" s="2" t="s">
        <v>204</v>
      </c>
      <c r="K25" s="2" t="s">
        <v>205</v>
      </c>
      <c r="L25" s="2" t="s">
        <v>170</v>
      </c>
      <c r="M25" s="2" t="s">
        <v>139</v>
      </c>
      <c r="N25" s="2" t="s">
        <v>140</v>
      </c>
    </row>
    <row r="26" spans="1:14" ht="45" x14ac:dyDescent="0.25">
      <c r="A26" s="2" t="s">
        <v>206</v>
      </c>
      <c r="B26" s="2" t="s">
        <v>163</v>
      </c>
      <c r="C26" s="2" t="s">
        <v>207</v>
      </c>
      <c r="D26" s="2" t="s">
        <v>208</v>
      </c>
      <c r="E26" s="2" t="s">
        <v>209</v>
      </c>
      <c r="F26" s="2" t="s">
        <v>210</v>
      </c>
      <c r="G26" s="3">
        <v>7</v>
      </c>
      <c r="H26" s="3">
        <v>4</v>
      </c>
      <c r="I26" s="3">
        <f t="shared" si="0"/>
        <v>28</v>
      </c>
      <c r="J26" s="2" t="s">
        <v>211</v>
      </c>
      <c r="K26" s="2" t="s">
        <v>212</v>
      </c>
      <c r="L26" s="2" t="s">
        <v>170</v>
      </c>
      <c r="M26" s="2" t="s">
        <v>121</v>
      </c>
      <c r="N26" s="2" t="s">
        <v>122</v>
      </c>
    </row>
    <row r="27" spans="1:14" ht="45" x14ac:dyDescent="0.25">
      <c r="A27" s="2" t="s">
        <v>213</v>
      </c>
      <c r="B27" s="2" t="s">
        <v>163</v>
      </c>
      <c r="C27" s="2" t="s">
        <v>214</v>
      </c>
      <c r="D27" s="2" t="s">
        <v>215</v>
      </c>
      <c r="E27" s="2" t="s">
        <v>216</v>
      </c>
      <c r="F27" s="2" t="s">
        <v>217</v>
      </c>
      <c r="G27" s="3">
        <v>7</v>
      </c>
      <c r="H27" s="3">
        <v>3</v>
      </c>
      <c r="I27" s="3">
        <f t="shared" si="0"/>
        <v>21</v>
      </c>
      <c r="J27" s="2" t="s">
        <v>218</v>
      </c>
      <c r="K27" s="2" t="s">
        <v>219</v>
      </c>
      <c r="L27" s="2" t="s">
        <v>170</v>
      </c>
      <c r="M27" s="2" t="s">
        <v>121</v>
      </c>
      <c r="N27" s="2" t="s">
        <v>122</v>
      </c>
    </row>
    <row r="28" spans="1:14" ht="45" x14ac:dyDescent="0.25">
      <c r="A28" s="2" t="s">
        <v>220</v>
      </c>
      <c r="B28" s="2" t="s">
        <v>163</v>
      </c>
      <c r="C28" s="2" t="s">
        <v>221</v>
      </c>
      <c r="D28" s="2" t="s">
        <v>222</v>
      </c>
      <c r="E28" s="2" t="s">
        <v>223</v>
      </c>
      <c r="F28" s="2" t="s">
        <v>224</v>
      </c>
      <c r="G28" s="3">
        <v>9</v>
      </c>
      <c r="H28" s="3">
        <v>3</v>
      </c>
      <c r="I28" s="3">
        <f t="shared" si="0"/>
        <v>27</v>
      </c>
      <c r="J28" s="2" t="s">
        <v>225</v>
      </c>
      <c r="K28" s="2" t="s">
        <v>226</v>
      </c>
      <c r="L28" s="2" t="s">
        <v>170</v>
      </c>
      <c r="M28" s="2" t="s">
        <v>227</v>
      </c>
      <c r="N28" s="2" t="s">
        <v>228</v>
      </c>
    </row>
    <row r="29" spans="1:14" ht="45" x14ac:dyDescent="0.25">
      <c r="A29" s="2" t="s">
        <v>229</v>
      </c>
      <c r="B29" s="2" t="s">
        <v>163</v>
      </c>
      <c r="C29" s="2" t="s">
        <v>230</v>
      </c>
      <c r="D29" s="2" t="s">
        <v>231</v>
      </c>
      <c r="E29" s="2" t="s">
        <v>232</v>
      </c>
      <c r="F29" s="2" t="s">
        <v>233</v>
      </c>
      <c r="G29" s="3">
        <v>7</v>
      </c>
      <c r="H29" s="3">
        <v>4</v>
      </c>
      <c r="I29" s="3">
        <f t="shared" si="0"/>
        <v>28</v>
      </c>
      <c r="J29" s="2" t="s">
        <v>234</v>
      </c>
      <c r="K29" s="2" t="s">
        <v>235</v>
      </c>
      <c r="L29" s="2" t="s">
        <v>170</v>
      </c>
      <c r="M29" s="2" t="s">
        <v>236</v>
      </c>
      <c r="N29" s="2" t="s">
        <v>237</v>
      </c>
    </row>
    <row r="30" spans="1:14" ht="45" x14ac:dyDescent="0.25">
      <c r="A30" s="2" t="s">
        <v>238</v>
      </c>
      <c r="B30" s="2" t="s">
        <v>163</v>
      </c>
      <c r="C30" s="2" t="s">
        <v>239</v>
      </c>
      <c r="D30" s="2" t="s">
        <v>240</v>
      </c>
      <c r="E30" s="2" t="s">
        <v>241</v>
      </c>
      <c r="F30" s="2" t="s">
        <v>242</v>
      </c>
      <c r="G30" s="3">
        <v>6</v>
      </c>
      <c r="H30" s="3">
        <v>4</v>
      </c>
      <c r="I30" s="3">
        <f t="shared" si="0"/>
        <v>24</v>
      </c>
      <c r="J30" s="2" t="s">
        <v>243</v>
      </c>
      <c r="K30" s="2" t="s">
        <v>244</v>
      </c>
      <c r="L30" s="2" t="s">
        <v>170</v>
      </c>
      <c r="M30" s="2" t="s">
        <v>50</v>
      </c>
      <c r="N30" s="2" t="s">
        <v>51</v>
      </c>
    </row>
    <row r="31" spans="1:14" ht="45" x14ac:dyDescent="0.25">
      <c r="A31" s="2" t="s">
        <v>245</v>
      </c>
      <c r="B31" s="2" t="s">
        <v>163</v>
      </c>
      <c r="C31" s="2" t="s">
        <v>246</v>
      </c>
      <c r="D31" s="2" t="s">
        <v>247</v>
      </c>
      <c r="E31" s="2" t="s">
        <v>248</v>
      </c>
      <c r="F31" s="2" t="s">
        <v>249</v>
      </c>
      <c r="G31" s="3">
        <v>9</v>
      </c>
      <c r="H31" s="3">
        <v>3</v>
      </c>
      <c r="I31" s="3">
        <f t="shared" si="0"/>
        <v>27</v>
      </c>
      <c r="J31" s="2" t="s">
        <v>250</v>
      </c>
      <c r="K31" s="2" t="s">
        <v>251</v>
      </c>
      <c r="L31" s="2" t="s">
        <v>170</v>
      </c>
      <c r="M31" s="2" t="s">
        <v>121</v>
      </c>
      <c r="N31" s="2" t="s">
        <v>122</v>
      </c>
    </row>
    <row r="32" spans="1:14" ht="45" x14ac:dyDescent="0.25">
      <c r="A32" s="2" t="s">
        <v>252</v>
      </c>
      <c r="B32" s="2" t="s">
        <v>253</v>
      </c>
      <c r="C32" s="2" t="s">
        <v>254</v>
      </c>
      <c r="D32" s="2" t="s">
        <v>255</v>
      </c>
      <c r="E32" s="2" t="s">
        <v>256</v>
      </c>
      <c r="F32" s="2" t="s">
        <v>257</v>
      </c>
      <c r="G32" s="3">
        <v>7</v>
      </c>
      <c r="H32" s="3">
        <v>3</v>
      </c>
      <c r="I32" s="3">
        <f t="shared" si="0"/>
        <v>21</v>
      </c>
      <c r="J32" s="2" t="s">
        <v>258</v>
      </c>
      <c r="K32" s="2" t="s">
        <v>259</v>
      </c>
      <c r="L32" s="2" t="s">
        <v>260</v>
      </c>
      <c r="M32" s="2" t="s">
        <v>23</v>
      </c>
      <c r="N32" s="2" t="s">
        <v>24</v>
      </c>
    </row>
    <row r="33" spans="1:14" ht="45" x14ac:dyDescent="0.25">
      <c r="A33" s="2" t="s">
        <v>261</v>
      </c>
      <c r="B33" s="2" t="s">
        <v>253</v>
      </c>
      <c r="C33" s="2" t="s">
        <v>262</v>
      </c>
      <c r="D33" s="2" t="s">
        <v>263</v>
      </c>
      <c r="E33" s="2" t="s">
        <v>264</v>
      </c>
      <c r="F33" s="2" t="s">
        <v>265</v>
      </c>
      <c r="G33" s="3">
        <v>7</v>
      </c>
      <c r="H33" s="3">
        <v>3</v>
      </c>
      <c r="I33" s="3">
        <f t="shared" si="0"/>
        <v>21</v>
      </c>
      <c r="J33" s="2" t="s">
        <v>266</v>
      </c>
      <c r="K33" s="2" t="s">
        <v>267</v>
      </c>
      <c r="L33" s="2" t="s">
        <v>260</v>
      </c>
      <c r="M33" s="2" t="s">
        <v>121</v>
      </c>
      <c r="N33" s="2" t="s">
        <v>122</v>
      </c>
    </row>
    <row r="34" spans="1:14" ht="45" x14ac:dyDescent="0.25">
      <c r="A34" s="2" t="s">
        <v>268</v>
      </c>
      <c r="B34" s="2" t="s">
        <v>253</v>
      </c>
      <c r="C34" s="2" t="s">
        <v>269</v>
      </c>
      <c r="D34" s="2" t="s">
        <v>270</v>
      </c>
      <c r="E34" s="2" t="s">
        <v>271</v>
      </c>
      <c r="F34" s="2" t="s">
        <v>272</v>
      </c>
      <c r="G34" s="3">
        <v>7</v>
      </c>
      <c r="H34" s="3">
        <v>3</v>
      </c>
      <c r="I34" s="3">
        <f t="shared" si="0"/>
        <v>21</v>
      </c>
      <c r="J34" s="2" t="s">
        <v>273</v>
      </c>
      <c r="K34" s="2" t="s">
        <v>274</v>
      </c>
      <c r="L34" s="2" t="s">
        <v>260</v>
      </c>
      <c r="M34" s="2" t="s">
        <v>121</v>
      </c>
      <c r="N34" s="2" t="s">
        <v>122</v>
      </c>
    </row>
    <row r="35" spans="1:14" ht="45" x14ac:dyDescent="0.25">
      <c r="A35" s="2" t="s">
        <v>275</v>
      </c>
      <c r="B35" s="2" t="s">
        <v>276</v>
      </c>
      <c r="C35" s="2" t="s">
        <v>277</v>
      </c>
      <c r="D35" s="2" t="s">
        <v>278</v>
      </c>
      <c r="E35" s="2" t="s">
        <v>279</v>
      </c>
      <c r="F35" s="2" t="s">
        <v>280</v>
      </c>
      <c r="G35" s="3">
        <v>9</v>
      </c>
      <c r="H35" s="3">
        <v>2</v>
      </c>
      <c r="I35" s="3">
        <f t="shared" si="0"/>
        <v>18</v>
      </c>
      <c r="J35" s="2" t="s">
        <v>281</v>
      </c>
      <c r="K35" s="2" t="s">
        <v>282</v>
      </c>
      <c r="L35" s="2" t="s">
        <v>283</v>
      </c>
      <c r="M35" s="2" t="s">
        <v>121</v>
      </c>
      <c r="N35" s="2" t="s">
        <v>122</v>
      </c>
    </row>
    <row r="36" spans="1:14" ht="75" x14ac:dyDescent="0.25">
      <c r="A36" s="2" t="s">
        <v>284</v>
      </c>
      <c r="B36" s="2" t="s">
        <v>276</v>
      </c>
      <c r="C36" s="2" t="s">
        <v>285</v>
      </c>
      <c r="D36" s="2" t="s">
        <v>286</v>
      </c>
      <c r="E36" s="2" t="s">
        <v>287</v>
      </c>
      <c r="F36" s="2" t="s">
        <v>288</v>
      </c>
      <c r="G36" s="3">
        <v>10</v>
      </c>
      <c r="H36" s="3">
        <v>2</v>
      </c>
      <c r="I36" s="3">
        <f t="shared" si="0"/>
        <v>20</v>
      </c>
      <c r="J36" s="2" t="s">
        <v>289</v>
      </c>
      <c r="K36" s="2" t="s">
        <v>290</v>
      </c>
      <c r="L36" s="2" t="s">
        <v>283</v>
      </c>
      <c r="M36" s="2" t="s">
        <v>291</v>
      </c>
      <c r="N36" s="2" t="s">
        <v>292</v>
      </c>
    </row>
    <row r="37" spans="1:14" ht="75" x14ac:dyDescent="0.25">
      <c r="A37" s="2" t="s">
        <v>293</v>
      </c>
      <c r="B37" s="2" t="s">
        <v>276</v>
      </c>
      <c r="C37" s="2" t="s">
        <v>294</v>
      </c>
      <c r="D37" s="2" t="s">
        <v>295</v>
      </c>
      <c r="E37" s="2" t="s">
        <v>296</v>
      </c>
      <c r="F37" s="2" t="s">
        <v>297</v>
      </c>
      <c r="G37" s="3">
        <v>10</v>
      </c>
      <c r="H37" s="3">
        <v>2</v>
      </c>
      <c r="I37" s="3">
        <f t="shared" si="0"/>
        <v>20</v>
      </c>
      <c r="J37" s="2" t="s">
        <v>298</v>
      </c>
      <c r="K37" s="2" t="s">
        <v>299</v>
      </c>
      <c r="L37" s="2" t="s">
        <v>283</v>
      </c>
      <c r="M37" s="2" t="s">
        <v>300</v>
      </c>
      <c r="N37" s="2" t="s">
        <v>301</v>
      </c>
    </row>
    <row r="38" spans="1:14" ht="90" x14ac:dyDescent="0.25">
      <c r="A38" s="2" t="s">
        <v>302</v>
      </c>
      <c r="B38" s="2" t="s">
        <v>276</v>
      </c>
      <c r="C38" s="2" t="s">
        <v>303</v>
      </c>
      <c r="D38" s="2" t="s">
        <v>304</v>
      </c>
      <c r="E38" s="2" t="s">
        <v>305</v>
      </c>
      <c r="F38" s="2" t="s">
        <v>306</v>
      </c>
      <c r="G38" s="3">
        <v>8</v>
      </c>
      <c r="H38" s="3">
        <v>2</v>
      </c>
      <c r="I38" s="3">
        <f t="shared" si="0"/>
        <v>16</v>
      </c>
      <c r="J38" s="2" t="s">
        <v>307</v>
      </c>
      <c r="K38" s="2" t="s">
        <v>308</v>
      </c>
      <c r="L38" s="2" t="s">
        <v>283</v>
      </c>
      <c r="M38" s="2" t="s">
        <v>309</v>
      </c>
      <c r="N38" s="2" t="s">
        <v>310</v>
      </c>
    </row>
    <row r="39" spans="1:14" ht="75" x14ac:dyDescent="0.25">
      <c r="A39" s="2" t="s">
        <v>311</v>
      </c>
      <c r="B39" s="2" t="s">
        <v>276</v>
      </c>
      <c r="C39" s="2" t="s">
        <v>312</v>
      </c>
      <c r="D39" s="2" t="s">
        <v>313</v>
      </c>
      <c r="E39" s="2" t="s">
        <v>314</v>
      </c>
      <c r="F39" s="2" t="s">
        <v>315</v>
      </c>
      <c r="G39" s="3">
        <v>10</v>
      </c>
      <c r="H39" s="3">
        <v>3</v>
      </c>
      <c r="I39" s="3">
        <f t="shared" si="0"/>
        <v>30</v>
      </c>
      <c r="J39" s="2" t="s">
        <v>316</v>
      </c>
      <c r="K39" s="2" t="s">
        <v>317</v>
      </c>
      <c r="L39" s="2" t="s">
        <v>283</v>
      </c>
      <c r="M39" s="2" t="s">
        <v>318</v>
      </c>
      <c r="N39" s="2" t="s">
        <v>319</v>
      </c>
    </row>
    <row r="40" spans="1:14" ht="75" x14ac:dyDescent="0.25">
      <c r="A40" s="2" t="s">
        <v>320</v>
      </c>
      <c r="B40" s="2" t="s">
        <v>276</v>
      </c>
      <c r="C40" s="2" t="s">
        <v>321</v>
      </c>
      <c r="D40" s="2" t="s">
        <v>322</v>
      </c>
      <c r="E40" s="2" t="s">
        <v>323</v>
      </c>
      <c r="F40" s="2" t="s">
        <v>324</v>
      </c>
      <c r="G40" s="3">
        <v>9</v>
      </c>
      <c r="H40" s="3">
        <v>2</v>
      </c>
      <c r="I40" s="3">
        <f t="shared" si="0"/>
        <v>18</v>
      </c>
      <c r="J40" s="2" t="s">
        <v>325</v>
      </c>
      <c r="K40" s="2" t="s">
        <v>326</v>
      </c>
      <c r="L40" s="2" t="s">
        <v>283</v>
      </c>
      <c r="M40" s="2" t="s">
        <v>327</v>
      </c>
      <c r="N40" s="2" t="s">
        <v>328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04A6117C4DF84CB3C8B051AC891574" ma:contentTypeVersion="20" ma:contentTypeDescription="Create a new document." ma:contentTypeScope="" ma:versionID="00f0d4de146f3debd014709363efecbc">
  <xsd:schema xmlns:xsd="http://www.w3.org/2001/XMLSchema" xmlns:xs="http://www.w3.org/2001/XMLSchema" xmlns:p="http://schemas.microsoft.com/office/2006/metadata/properties" xmlns:ns2="476fff79-cca5-4bf5-bfa1-08e490f83e28" xmlns:ns3="d72dafea-079e-4f13-8c31-726b68bf6a28" targetNamespace="http://schemas.microsoft.com/office/2006/metadata/properties" ma:root="true" ma:fieldsID="b30dbd1d6bcd4f72a418cd65338443ee" ns2:_="" ns3:_="">
    <xsd:import namespace="476fff79-cca5-4bf5-bfa1-08e490f83e28"/>
    <xsd:import namespace="d72dafea-079e-4f13-8c31-726b68bf6a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6fff79-cca5-4bf5-bfa1-08e490f83e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fed25f8e-50e6-4137-9d04-02130354ac1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2dafea-079e-4f13-8c31-726b68bf6a2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4e1b9b5-9fa9-4613-b7f5-e0abfd9c0063}" ma:internalName="TaxCatchAll" ma:showField="CatchAllData" ma:web="d72dafea-079e-4f13-8c31-726b68bf6a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72dafea-079e-4f13-8c31-726b68bf6a28" xsi:nil="true"/>
    <lcf76f155ced4ddcb4097134ff3c332f xmlns="476fff79-cca5-4bf5-bfa1-08e490f83e2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D55955-65BC-4D96-8454-E9A755C5A808}"/>
</file>

<file path=customXml/itemProps2.xml><?xml version="1.0" encoding="utf-8"?>
<ds:datastoreItem xmlns:ds="http://schemas.openxmlformats.org/officeDocument/2006/customXml" ds:itemID="{06B65CF3-B391-4AE0-930D-50E67D3B612C}"/>
</file>

<file path=customXml/itemProps3.xml><?xml version="1.0" encoding="utf-8"?>
<ds:datastoreItem xmlns:ds="http://schemas.openxmlformats.org/officeDocument/2006/customXml" ds:itemID="{12CC011E-ACC8-4688-9940-BABB24853A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OWS FMs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KALOGEROPOULOS DIONYSIOS</cp:lastModifiedBy>
  <dcterms:modified xsi:type="dcterms:W3CDTF">2026-07-23T20:08:02Z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0x010100B304A6117C4DF84CB3C8B051AC891574</vt:lpwstr>
  </property>
</Properties>
</file>