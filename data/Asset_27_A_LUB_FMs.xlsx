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9"/>
  <workbookPr/>
  <mc:AlternateContent xmlns:mc="http://schemas.openxmlformats.org/markup-compatibility/2006">
    <mc:Choice Requires="x15">
      <x15ac:absPath xmlns:x15ac="http://schemas.microsoft.com/office/spreadsheetml/2010/11/ac" url="C:\Users\dioni\Desktop\phd\D_Navio\WP5\delivered\"/>
    </mc:Choice>
  </mc:AlternateContent>
  <xr:revisionPtr revIDLastSave="0" documentId="13_ncr:1_{4C62A01B-5B2A-47A6-B531-33FB46CB17B0}" xr6:coauthVersionLast="47" xr6:coauthVersionMax="47" xr10:uidLastSave="{00000000-0000-0000-0000-000000000000}"/>
  <bookViews>
    <workbookView xWindow="-120" yWindow="-120" windowWidth="29040" windowHeight="15720" tabRatio="500" xr2:uid="{00000000-000D-0000-FFFF-FFFF00000000}"/>
  </bookViews>
  <sheets>
    <sheet name="A-LUB FMs" sheetId="1"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39" i="1" l="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alcChain>
</file>

<file path=xl/sharedStrings.xml><?xml version="1.0" encoding="utf-8"?>
<sst xmlns="http://schemas.openxmlformats.org/spreadsheetml/2006/main" count="432" uniqueCount="372">
  <si>
    <t>FM ID</t>
  </si>
  <si>
    <t>FM Class</t>
  </si>
  <si>
    <t>Failure Mode (FM)</t>
  </si>
  <si>
    <t>Potential Causes &amp; Mechanism(s) of the FM</t>
  </si>
  <si>
    <t>Potential Technical Effects of the FM</t>
  </si>
  <si>
    <t>Potential Consequences of the FM</t>
  </si>
  <si>
    <t>Severity (1-10)</t>
  </si>
  <si>
    <t>Probability (1-10)</t>
  </si>
  <si>
    <t>RPN (S x P)</t>
  </si>
  <si>
    <t>Detective Controls</t>
  </si>
  <si>
    <t>Preventive Controls</t>
  </si>
  <si>
    <t>Responsibility</t>
  </si>
  <si>
    <t>Source</t>
  </si>
  <si>
    <t>Link</t>
  </si>
  <si>
    <t>A-LUB-W01</t>
  </si>
  <si>
    <t>Power Supply Failure</t>
  </si>
  <si>
    <t>24 V supply / UPS fault damaging or destabilising lubricator electronics</t>
  </si>
  <si>
    <t>The lubricator system is supplied from an unsuitable/common 24 V source or the stand-alone UPS supply is missing or degraded. MAN reports that such arrangements can contribute to false alarms and PCB damage.</t>
  </si>
  <si>
    <t>MCU/BCU/SBU electronics may suffer resets, unstable operation, false alarms, or damage.</t>
  </si>
  <si>
    <t>Lubrication control reliability falls and engine operation may be restricted until electrical faults are corrected.</t>
  </si>
  <si>
    <t>24 V/UPS voltage checks, power-quality alarms, PCB condition, event logs, and verification of stand-alone supply installation.</t>
  </si>
  <si>
    <t>Use the specified stand-alone 24 V supply with UPS; inspect terminals; maintain batteries/UPS and electrical protection.</t>
  </si>
  <si>
    <t>Electrical Officer / Chief Engineer</t>
  </si>
  <si>
    <t>MAN Energy Solutions SL2016-632/AAB, Alpha Lubricator service experience</t>
  </si>
  <si>
    <t>https://www.man-es.com/docs/default-source/service-letters/sl2016-632.pdf</t>
  </si>
  <si>
    <t>A-LUB-S01</t>
  </si>
  <si>
    <t>Data/Input Failure</t>
  </si>
  <si>
    <t>Oil-injection feedback sensor failure / oil ingress to PCB</t>
  </si>
  <si>
    <t>The feedback sensor fails or leaks oil toward the junction box or PCB area. MAN service experience specifically warns about faulty feedback sensors and oil entering electrical components.</t>
  </si>
  <si>
    <t>The controller may receive missing or wrong feedback and PCB condition can degrade. False alarms or incorrect delivery verification may occur.</t>
  </si>
  <si>
    <t>Lubrication amount may become uncertain, increasing the risk of over- or under-lubrication and forced maintenance.</t>
  </si>
  <si>
    <t>Feedback-sensor alarms, junction-box inspection, PCB inspection, lubricator functional test, and oil-leak check.</t>
  </si>
  <si>
    <t>Replace feedback sensors at recommended intervals, inspect for oil ingress, and use OEM maintenance kits.</t>
  </si>
  <si>
    <t>Electrical Officer / Chief Engineer / OEM service</t>
  </si>
  <si>
    <t>A-LUB-S02</t>
  </si>
  <si>
    <t>Tacho / encoder / crank-angle reference signal fault</t>
  </si>
  <si>
    <t>The lubricator receives a missing or faulty engine-speed, marker, trigger, encoder, tacho, or BCU pickup signal because of loose wiring, wrong clearance, defective pickup, encoder vibration, or coupling problems.</t>
  </si>
  <si>
    <t>Timed oil injection may be mistimed or unavailable; backup/untimed operation may be triggered if the main timing reference is unreliable.</t>
  </si>
  <si>
    <t>Cylinder-specific lubrication timing errors can increase wear, deposits, scuffing risk, and slow-down/alarm frequency.</t>
  </si>
  <si>
    <t>HMI encoder/marker/trigger alarms, BCU pickup alarms, pickup voltage/clearance checks, encoder fitting/coupling inspection, and speed-signal plausibility review.</t>
  </si>
  <si>
    <t>Maintain encoder and pickup mounting, cable routing and clearances; verify tacho/fuel-index input health during commissioning and periodic tests.</t>
  </si>
  <si>
    <t>Hitachi-MAN B&amp;W HSD-B12101E, Alpha lubricator troubleshooting; MAN Energy Solutions Alpha Lubrication System project guide; He et al. 2019, electronically controlled cylinder lubrication</t>
  </si>
  <si>
    <t>https://hzme.hitachizosen.co.jp/sitekanri/media/2023/04/B12101E.pdf
https://www.man-es.com/applications/projectguides/2stroke/content/1983889015.pdf
https://strathprints.strath.ac.uk/66748/1/He_etal_IJER_2019_New_concept_and_design_of_electronically_controlled_cylinder_lubrication_system.pdf</t>
  </si>
  <si>
    <t>A-LUB-S03</t>
  </si>
  <si>
    <t>Contaminated or non-representative scavenge drain oil sample</t>
  </si>
  <si>
    <t>Drain-oil samples are affected by dirty onboard equipment, incorrect sampling practice, or non-representative cylinder collection. The analytical result then does not represent actual cylinder condition.</t>
  </si>
  <si>
    <t>Fe, PQ, BN, water or contaminant readings may be biased. Condition assessment and feed-rate optimisation decisions become unreliable.</t>
  </si>
  <si>
    <t>Abnormal wear can be missed or normal cylinders may be over-corrected, increasing maintenance and cylinder-damage risk.</t>
  </si>
  <si>
    <t>Sampling-procedure review, clean equipment checks, repeat sampling, laboratory comparison, and cylinder-to-cylinder consistency checks.</t>
  </si>
  <si>
    <t>Use clean equipment, standardised sampling frequency/procedure, and accredited laboratory confirmation for important decisions.</t>
  </si>
  <si>
    <t>Chief Engineer / 2nd Engineer / Laboratory</t>
  </si>
  <si>
    <t>Everllence SL2025-776/NHN, scavenge drain oil analysis</t>
  </si>
  <si>
    <t>https://www.everllence.com/docs/default-source/service-letters/sl2025-776.pdf?sfvrsn=a067f80a_3</t>
  </si>
  <si>
    <t>A-LUB-S04</t>
  </si>
  <si>
    <t>System-oil dilution of drain oil misleads SDA interpretation</t>
  </si>
  <si>
    <t>System oil can dilute scavenge drain oil through stuffing-box, piston, telescopic-pipe or unavoidable minor leakage paths. Excessive dilution lowers measured iron and BN and may hide true wear severity.</t>
  </si>
  <si>
    <t>Drain-oil analysis underestimates wear or neutralisation demand. The sample appears safer than the cylinder condition really is.</t>
  </si>
  <si>
    <t>Feed rate may be reduced incorrectly or abnormal wear may be acted on too late.</t>
  </si>
  <si>
    <t>Compare drain oil with used system oil, new system oil and new cylinder oil; request laboratory dilution assessment; check stuffing-box/leakage condition.</t>
  </si>
  <si>
    <t>Provide reference samples to laboratory, monitor dilution level, and avoid critical feed-rate decisions from diluted samples alone.</t>
  </si>
  <si>
    <t>Chief Engineer / Laboratory / Superintendent</t>
  </si>
  <si>
    <t>A-LUB-S05</t>
  </si>
  <si>
    <t>Actual cylinder-oil consumption deviates from MOP/HMI value</t>
  </si>
  <si>
    <t>Displayed MOP/HMI consumption does not match service-tank daily consumption because of delivery error, calibration issue, leakage, or measurement/recording inconsistency.</t>
  </si>
  <si>
    <t>Crew decisions are based on the wrong amount of oil believed to be delivered. Feed-rate optimisation becomes unsafe.</t>
  </si>
  <si>
    <t>Under- or over-lubrication may persist unnoticed, increasing wear, deposit risk, and oil-cost uncertainty.</t>
  </si>
  <si>
    <t>Compare MOP/HMI consumption with service-tank daily consumption and cylinder-by-cylinder trends; investigate excessive deviation.</t>
  </si>
  <si>
    <t>Routinely reconcile displayed and actual oil consumption; check system condition before reducing feed rate.</t>
  </si>
  <si>
    <t>Chief Engineer / 2nd Engineer</t>
  </si>
  <si>
    <t>MAN Energy Solutions SL2023-737/NHN, cylinder oil feed rate</t>
  </si>
  <si>
    <t>https://www.man-es.com/docs/default-source/service-letters/sl2023-737.pdf?sfvrsn=c4bf0da1_4</t>
  </si>
  <si>
    <t>A-LUB-S06</t>
  </si>
  <si>
    <t>Cylinder-oil temperature sensor or high-temperature alarm fault</t>
  </si>
  <si>
    <t>The ALCU receives an abnormal or inconsistent cylinder-oil temperature signal, or the oil temperature rises above the expected range because of sensor, wiring, cooler, or oil-temperature condition issues.</t>
  </si>
  <si>
    <t>The lubricator may alarm on excessive cylinder-oil temperature or temperature-sensor mismatch; oil viscosity and delivery stability may be affected if the real temperature is abnormal.</t>
  </si>
  <si>
    <t>Delayed correction can reduce lubrication quality, increase wear risk, or require manual troubleshooting before reliable lubrication is restored.</t>
  </si>
  <si>
    <t>HMI alarm No. 38, comparison of sensor-derived value with actual oil temperature, cooler-system check, and wiring/sensor inspection.</t>
  </si>
  <si>
    <t>Maintain oil cooler and temperature sensor wiring; verify oil temperature before lubricator operation; replace faulty temperature sensor if confirmed.</t>
  </si>
  <si>
    <t>Chief Engineer / Electrical Officer</t>
  </si>
  <si>
    <t>Hitachi-MAN B&amp;W HSD-B12101E, Alpha lubricator troubleshooting</t>
  </si>
  <si>
    <t>https://hzme.hitachizosen.co.jp/sitekanri/media/2023/04/B12101E.pdf</t>
  </si>
  <si>
    <t>A-LUB-S07</t>
  </si>
  <si>
    <t>Cylinder-oil pressure low / pressure-transmitter fault</t>
  </si>
  <si>
    <t>Cylinder-oil pressure is low or unstable because of piping leakage, pump/supply problems, pressure-transmitter error, standby-pump issue, or accumulator/non-return valve condition.</t>
  </si>
  <si>
    <t>Oil pressure at the lubricator becomes insufficient or the HMI pressure indication becomes inconsistent with the local gauge.</t>
  </si>
  <si>
    <t>Under-lubrication, alarms, standby pump operation, slow-down risk, and accelerated ring/liner wear can follow if pressure is not restored.</t>
  </si>
  <si>
    <t>HMI alarm No. 39, comparison between HMI pressure and engine-side gauge, standby-pump alarm, leakage inspection, and accumulator/non-return valve checks.</t>
  </si>
  <si>
    <t>Maintain piping, pressure transmitter, accumulators, non-return valves and standby pump; perform periodic pressure and leak checks.</t>
  </si>
  <si>
    <t>Hitachi-MAN B&amp;W HSD-B12101E, Alpha lubricator troubleshooting; MAN Energy Solutions SL2019-673/PRP, accumulator safety information</t>
  </si>
  <si>
    <t>https://hzme.hitachizosen.co.jp/sitekanri/media/2023/04/B12101E.pdf
https://www.man-es.com/docs/default-source/service-letters/sl2019-673.pdf</t>
  </si>
  <si>
    <t>A-LUB-S08</t>
  </si>
  <si>
    <t>Fuel-index / load-index transmitter signal failure</t>
  </si>
  <si>
    <t>The load or fuel-index transmitter signal used by the cylinder-lubrication control is lost or wrong because of mechanical linkage fault, transmitter adjustment error, replacement/readjustment error, or cable failure.</t>
  </si>
  <si>
    <t>Load-dependent feed-rate control can be based on wrong engine-load information, causing over- or under-lubrication relative to actual operating condition.</t>
  </si>
  <si>
    <t>Wrong cylinder-oil dosage during load changes can increase deposit, corrosion, or scuffing risk.</t>
  </si>
  <si>
    <t>HMI alarm No. 41/42, transmitter-linkage inspection, wiring continuity check, fuel-index/load-signal plausibility check against engine operation.</t>
  </si>
  <si>
    <t>Maintain transmitter linkage and wiring, calibrate/readjust after replacement, and verify load-index signal during trials.</t>
  </si>
  <si>
    <t>Hitachi-MAN B&amp;W HSD-B12101E, Alpha lubricator troubleshooting; He et al. 2019, electronically controlled cylinder lubrication</t>
  </si>
  <si>
    <t>https://hzme.hitachizosen.co.jp/sitekanri/media/2023/04/B12101E.pdf
https://strathprints.strath.ac.uk/66748/1/He_etal_IJER_2019_New_concept_and_design_of_electronically_controlled_cylinder_lubrication_system.pdf</t>
  </si>
  <si>
    <t>A-LUB-S09</t>
  </si>
  <si>
    <t>Prelubrication signal failure</t>
  </si>
  <si>
    <t>The prelubrication signal from auxiliary-blower starter or related wiring to the ALCU is missing or faulty.</t>
  </si>
  <si>
    <t>Automatic prelubrication may not be initiated as intended before or around engine operation.</t>
  </si>
  <si>
    <t>Insufficient pre-start lubrication can increase early ring/liner wear risk and force manual checks or troubleshooting.</t>
  </si>
  <si>
    <t>HMI alarm No. 37, wiring check between auxiliary-blower starter and ALCU, and verification of prelubrication function.</t>
  </si>
  <si>
    <t>Test prelubrication logic during maintenance and after wiring work; maintain signal wiring and confirm correct operation before engine start.</t>
  </si>
  <si>
    <t>Hitachi-MAN B&amp;W HSD-B12101E, Alpha lubricator troubleshooting; MAN Energy Solutions Alpha Lubrication System project guide</t>
  </si>
  <si>
    <t>https://hzme.hitachizosen.co.jp/sitekanri/media/2023/04/B12101E.pdf
https://www.man-es.com/applications/projectguides/2stroke/content/1983889015.pdf</t>
  </si>
  <si>
    <t>A-LUB-L01</t>
  </si>
  <si>
    <t>Software Anomaly</t>
  </si>
  <si>
    <t>ALCU / MCU / BCU / SBU electronics failure</t>
  </si>
  <si>
    <t>The Alpha lubricator control electronics, including MCU, BCU, SBU or related PCB hardware, become degraded, obsolete, damaged by unsuitable supply quality, or fail internally.</t>
  </si>
  <si>
    <t>Lubricator timing, dosage control, alarm handling, or backup-control coordination may be lost or degraded.</t>
  </si>
  <si>
    <t>Incorrect or unavailable cylinder lubrication can increase ring/liner wear and may require operation in backup/degraded mode or engine slow-down.</t>
  </si>
  <si>
    <t>Common alarm/slowdown signals, HMI alarms, BCU LEDs, power-supply checks, and PCB/connector inspection.</t>
  </si>
  <si>
    <t>Maintain the dedicated 24 V UPS supply, keep spares or upgrade path for obsolete ALCU components, and test alarm/backup functions during maintenance.</t>
  </si>
  <si>
    <t>MAN Energy Solutions SL2016-632/AAB, Alpha Lubricator service experience; MAN Energy Solutions SL2025-766/ANRE, ALCU 2R; Hitachi-MAN B&amp;W HSD-B12101E, Alpha lubricator troubleshooting</t>
  </si>
  <si>
    <t>https://www.man-es.com/docs/default-source/service-letters/sl2016-632.pdf
https://www.man-es.com/docs/default-source/service-letters/sl2025-766.pdf?sfvrsn=5a905c2f_3
https://hzme.hitachizosen.co.jp/sitekanri/media/2023/04/B12101E.pdf</t>
  </si>
  <si>
    <t>A-LUB-A01</t>
  </si>
  <si>
    <t>Actuation/Interface Failure</t>
  </si>
  <si>
    <t>Uneven or mistimed cylinder-oil injection</t>
  </si>
  <si>
    <t>Electronically timed injection, crank-angle reference, lubricator actuation, or injection-point condition can cause oil to arrive at the wrong time or unevenly across the liner surface.</t>
  </si>
  <si>
    <t>Some liner zones receive insufficient oil while others may receive too much. Local dry areas, poor neutralisation, or deposit-prone areas can develop.</t>
  </si>
  <si>
    <t>Local scuffing, ring wear, deposit formation, and cylinder imbalance may follow.</t>
  </si>
  <si>
    <t>Cylinder-by-cylinder feed/alarm review, tacho/crank-angle signal checks, scavenge-port inspection, SDA trends, and liner temperature comparisons.</t>
  </si>
  <si>
    <t>Maintain electronic lubricator timing/reference systems; test lubricator delivery and feedback; keep injection equipment maintained.</t>
  </si>
  <si>
    <t>Chief Engineer / Electrical Officer / OEM service</t>
  </si>
  <si>
    <t>He et al. 2019, electronically controlled cylinder lubrication; CIMAC Recommendation 31</t>
  </si>
  <si>
    <t>https://strathprints.strath.ac.uk/66748/1/He_etal_IJER_2019_New_concept_and_design_of_electronically_controlled_cylinder_lubrication_system.pdf
https://www.cimac.com/cms/upload/workinggroups/WG8/Documents/Recommendations/Recommendation_31_2018-03-25_CIMAC_WG8-SG4_2-Stroke_Lubrication_FINAL.pdf</t>
  </si>
  <si>
    <t>A-LUB-A02</t>
  </si>
  <si>
    <t>Lubricator actuation / switching interface failure</t>
  </si>
  <si>
    <t>The lubricator actuation chain or switching interface fails because of control-device faults, solenoid wiring/plug problems, BCU function signal faults, or degraded interface electronics.</t>
  </si>
  <si>
    <t>The commanded oil delivery event may not be executed reliably, or the control system may change to backup/degraded operation.</t>
  </si>
  <si>
    <t>Intermittent or missing cylinder-oil delivery can increase wear and scuffing risk and can lead to alarms or slow-down.</t>
  </si>
  <si>
    <t>HMI alarm codes, BCU LED status, solenoid plug resistance/wiring checks, local intermediate-box LEDs, and functional delivery checks.</t>
  </si>
  <si>
    <t>Inspect and test solenoid/control wiring, keep service kits/spares, and verify lubricator actuation during scheduled maintenance.</t>
  </si>
  <si>
    <t>Hitachi-MAN B&amp;W HSD-B12101E, Alpha lubricator troubleshooting; MAN Energy Solutions SL2016-632/AAB, Alpha Lubricator service experience; MAN Energy Solutions SL2025-766/ANRE, ALCU 2R</t>
  </si>
  <si>
    <t>https://hzme.hitachizosen.co.jp/sitekanri/media/2023/04/B12101E.pdf
https://www.man-es.com/docs/default-source/service-letters/sl2016-632.pdf
https://www.man-es.com/docs/default-source/service-letters/sl2025-766.pdf?sfvrsn=5a905c2f_3</t>
  </si>
  <si>
    <t>A-LUB-P01</t>
  </si>
  <si>
    <t>Process/Mechanical Failure</t>
  </si>
  <si>
    <t>Cylinder oil-film breakdown / boundary lubrication collapse</t>
  </si>
  <si>
    <t>The ring–liner oil film becomes too thin because the available cylinder oil, viscosity margin, load, speed, or temperature condition is inadequate. The contact then moves from fluid-film lubrication toward boundary lubrication.</t>
  </si>
  <si>
    <t>Friction and local surface temperature increase at the ring–liner interface. Stable separation between ring and liner is reduced or lost.</t>
  </si>
  <si>
    <t>Rapid wear, scuffing initiation, liner scoring, and possible cylinder-unit damage can reduce propulsion availability.</t>
  </si>
  <si>
    <t>Trend liner/scavenge temperature, drain-oil Fe/PQ, scavenge-port inspection findings, abnormal noise/vibration, and cylinder condition reports.</t>
  </si>
  <si>
    <t>Maintain OEM feed-rate margins, correct CLO viscosity/BN, load-change lubrication settings, and routine cylinder-condition inspections.</t>
  </si>
  <si>
    <t>Chief Engineer / 2nd Engineer / OEM service</t>
  </si>
  <si>
    <t>CIMAC Guideline 03/2023, Scuffing in two-stroke engines; CIMAC Recommendation 31, Lubrication of two-stroke crosshead diesel engines</t>
  </si>
  <si>
    <t>https://www.cimac.com/cms/upload/workinggroups/WG8/Documents/2023-03-02_CIMAC_Guideline_Scuffing_FINAL.pdf
https://www.cimac.com/cms/upload/workinggroups/WG8/Documents/Recommendations/Recommendation_31_2018-03-25_CIMAC_WG8-SG4_2-Stroke_Lubrication_FINAL.pdf</t>
  </si>
  <si>
    <t>A-LUB-P02</t>
  </si>
  <si>
    <t>Scuffing of piston ring–liner interface</t>
  </si>
  <si>
    <t>Scuffing develops when lubricant-film failure permits adhesive contact between the ring and liner. Sliding then roughens the surfaces and can escalate quickly if the operating condition is not corrected.</t>
  </si>
  <si>
    <t>Ring and liner surfaces become rough, overheated, and increasingly unable to run smoothly. A severe stripe or local seizure mark can develop.</t>
  </si>
  <si>
    <t>Cylinder cut-out, slow-down, piston-ring damage, liner replacement, or unplanned main-engine maintenance may be required.</t>
  </si>
  <si>
    <t>Scavenge-port inspection, drain-oil iron/PQ trend, liner temperature fluctuation, and cylinder condition alarms or reports.</t>
  </si>
  <si>
    <t>Increase feed rate when scuffing is suspected, reduce load/cylinder pressure as required, and follow OEM/CIMAC mitigation guidance.</t>
  </si>
  <si>
    <t>Chief Engineer / OEM service</t>
  </si>
  <si>
    <t>CIMAC Guideline 03/2023, Scuffing in two-stroke engines; Everllence SL2025-776/NHN, Scavenge drain oil sampling</t>
  </si>
  <si>
    <t>https://www.cimac.com/cms/upload/workinggroups/WG8/Documents/2023-03-02_CIMAC_Guideline_Scuffing_FINAL.pdf
https://www.everllence.com/docs/default-source/service-letters/sl2025-776.pdf?sfvrsn=a067f80a_3</t>
  </si>
  <si>
    <t>A-LUB-P03</t>
  </si>
  <si>
    <t>Cold corrosion from insufficient acid neutralisation</t>
  </si>
  <si>
    <t>Sulphur oxides and water can form acid that condenses on comparatively cool liner surfaces. The risk increases when cylinder oil BN, feed rate, liner temperature, or fuel-sulphur matching is inadequate.</t>
  </si>
  <si>
    <t>Corrosive wear attacks liner and ring surfaces and may expose fresh metal for further wear. Drain oil may show low residual BN and increased corrosive iron.</t>
  </si>
  <si>
    <t>Accelerated liner wear, loss of compression, increased overhaul demand, and possible cylinder damage can occur.</t>
  </si>
  <si>
    <t>Residual BN, iron and PQ from scavenge drain oil; liner temperature trend; fuel sulphur/load history; scavenge-port inspection.</t>
  </si>
  <si>
    <t>Match CLO BN and feed rate to fuel sulphur and engine guidance; use sweep tests/SDA before lowering feed rate; maintain suitable liner temperature.</t>
  </si>
  <si>
    <t>Chief Engineer / Lubricant supplier / OEM service</t>
  </si>
  <si>
    <t>CIMAC Guideline 11/2017, Cold corrosion in marine two-stroke engines; CIMAC Recommendation 31; Everllence SL2025-776/NHN, scavenge drain oil analysis</t>
  </si>
  <si>
    <t>https://www.cimac.com/cms/upload/Publication_Press/WG_Publications/CIMAC_WG8_Guideline_2017_Two_Stroke_Engine_Cold_Corrosion.pdf
https://www.cimac.com/cms/upload/workinggroups/WG8/Documents/Recommendations/Recommendation_31_2018-03-25_CIMAC_WG8-SG4_2-Stroke_Lubrication_FINAL.pdf
https://www.everllence.com/docs/default-source/service-letters/sl2025-776.pdf?sfvrsn=a067f80a_3</t>
  </si>
  <si>
    <t>A-LUB-P04</t>
  </si>
  <si>
    <t>Cat-fine / hard-particle abrasive wear</t>
  </si>
  <si>
    <t>Aluminium/silicon cat fines or other hard particles can enter the combustion space and be trapped in the ring–liner contact. The particles abrade the surfaces when lubrication cannot separate them.</t>
  </si>
  <si>
    <t>Scratching, micro-cutting, and accelerated wear occur on liner and ring surfaces. Drain oil may show abrasive wear signatures.</t>
  </si>
  <si>
    <t>Progressive wear can escalate to ring damage, scuffing, loss of efficiency, and unscheduled maintenance.</t>
  </si>
  <si>
    <t>Fuel analysis and purifier checks; drain-oil Fe/PQ and particle/element analysis; scavenge-port inspection for liner scratches.</t>
  </si>
  <si>
    <t>Maintain fuel-cleaning performance, fuel quality control, suitable cylinder oil/feed rate, and early action on abnormal drain-oil findings.</t>
  </si>
  <si>
    <t>Chief Engineer / Fuel-treatment operator / Superintendent</t>
  </si>
  <si>
    <t>CIMAC Recommendation 31; Everllence SL2025-776/NHN, scavenge drain oil analysis</t>
  </si>
  <si>
    <t>https://www.cimac.com/cms/upload/workinggroups/WG8/Documents/Recommendations/Recommendation_31_2018-03-25_CIMAC_WG8-SG4_2-Stroke_Lubrication_FINAL.pdf
https://www.everllence.com/docs/default-source/service-letters/sl2025-776.pdf?sfvrsn=a067f80a_3</t>
  </si>
  <si>
    <t>A-LUB-P05</t>
  </si>
  <si>
    <t>Deposit build-up from over-lubrication or poor cleanliness</t>
  </si>
  <si>
    <t>Excessive feed, unsuitable oil selection, poor combustion cleanliness, or insufficient deposit control can leave ash/carbonaceous deposits around rings and liner surfaces.</t>
  </si>
  <si>
    <t>Deposits can impair ring movement, disturb heat transfer, and worsen oil distribution. The liner surface may become glazed or polished.</t>
  </si>
  <si>
    <t>Ring sticking, scuffing risk, elevated maintenance burden, and reduced combustion efficiency can result.</t>
  </si>
  <si>
    <t>Scavenge-port inspection, piston-ring movement/condition checks, exhaust/smoke observations, and drain-oil cleanliness indicators.</t>
  </si>
  <si>
    <t>Use OEM feed-rate guidance, avoid unnecessary over-lubrication, select oil appropriate to fuel and engine condition, and maintain combustion quality.</t>
  </si>
  <si>
    <t>Chief Engineer / 2nd Engineer / Lubricant supplier</t>
  </si>
  <si>
    <t>CIMAC Recommendation 31; MAN Energy Solutions SL2023-737/NHN, cylinder oil feed rate</t>
  </si>
  <si>
    <t>https://www.cimac.com/cms/upload/workinggroups/WG8/Documents/Recommendations/Recommendation_31_2018-03-25_CIMAC_WG8-SG4_2-Stroke_Lubrication_FINAL.pdf
https://www.man-es.com/docs/default-source/service-letters/sl2023-737.pdf?sfvrsn=c4bf0da1_4</t>
  </si>
  <si>
    <t>A-LUB-P06</t>
  </si>
  <si>
    <t>Insufficient cylinder oil feed rate</t>
  </si>
  <si>
    <t>The delivered feed rate is below the lubrication and neutralisation demand for the current fuel, load, engine condition, or running mode. This may result from wrong settings, excessive feed-rate reduction, or lubrication-system faults.</t>
  </si>
  <si>
    <t>Oil availability on the liner becomes inadequate and friction/wear rises. Acid neutralisation can also become insufficient.</t>
  </si>
  <si>
    <t>Scuffing, cold corrosion, ring/liner wear, and main-engine derating or shutdown may occur.</t>
  </si>
  <si>
    <t>MOP/HMI feed-rate and consumption check, service-tank consumption comparison, SDA Fe/BN/PQ, and scavenge-port inspection.</t>
  </si>
  <si>
    <t>Follow OEM feed-rate guidance; verify actual daily consumption against HMI; increase feed rate and inspect when abnormalities appear.</t>
  </si>
  <si>
    <t>MAN Energy Solutions SL2023-737/NHN, cylinder oil feed rate; CIMAC Recommendation 31; Everllence SL2025-776/NHN, scavenge drain oil analysis; Hitachi-MAN B&amp;W HSD-B14101E, Alpha cylinder lubrication guidelines</t>
  </si>
  <si>
    <t>https://www.man-es.com/docs/default-source/service-letters/sl2023-737.pdf?sfvrsn=c4bf0da1_4
https://www.cimac.com/cms/upload/workinggroups/WG8/Documents/Recommendations/Recommendation_31_2018-03-25_CIMAC_WG8-SG4_2-Stroke_Lubrication_FINAL.pdf
https://www.everllence.com/docs/default-source/service-letters/sl2025-776.pdf?sfvrsn=a067f80a_3
https://hzme.hitachizosen.co.jp/sitekanri/media/2023/04/B14101E.pdf</t>
  </si>
  <si>
    <t>A-LUB-P07</t>
  </si>
  <si>
    <t>Lubrication margin loss during high temperature or load transition</t>
  </si>
  <si>
    <t>High liner temperature, rapid load change, low-speed/high-load operation, or abnormal cylinder condition reduces viscosity and margin against boundary contact.</t>
  </si>
  <si>
    <t>The oil film weakens and temperature fluctuations may increase. Wear can accelerate before a fixed alarm threshold is exceeded.</t>
  </si>
  <si>
    <t>Scuffing, ring distress, cylinder damage, and propulsion limitation may occur if the condition persists.</t>
  </si>
  <si>
    <t>Liner/scavenge temperature trends, load-change history, abnormal SDA results, and inspection after abnormal operating periods.</t>
  </si>
  <si>
    <t>Apply correct load-management practices, maintain cooling condition, avoid aggressive feed-rate reduction, and increase feed rate when scuffing is suspected.</t>
  </si>
  <si>
    <t>Bridge/Engine team / Chief Engineer</t>
  </si>
  <si>
    <t>CIMAC Guideline 03/2023, Scuffing in two-stroke engines; MAN Energy Solutions SL2023-737/NHN, cylinder oil feed rate</t>
  </si>
  <si>
    <t>https://www.cimac.com/cms/upload/workinggroups/WG8/Documents/2023-03-02_CIMAC_Guideline_Scuffing_FINAL.pdf
https://www.man-es.com/docs/default-source/service-letters/sl2023-737.pdf?sfvrsn=c4bf0da1_4</t>
  </si>
  <si>
    <t>A-LUB-P08</t>
  </si>
  <si>
    <t>Water carryover into cylinder/scavenge environment</t>
  </si>
  <si>
    <t>Water can reach the cylinder environment through combustion, fuel/air contamination, leaks, or operating conditions that increase water presence. In the contact zone it can contribute to adhesive/corrosive wear mechanisms.</t>
  </si>
  <si>
    <t>Oil-film performance and surface protection degrade. Drain oil may show water and wear indicators.</t>
  </si>
  <si>
    <t>Higher wear, scuffing/corrosion risk, and reduced cylinder reliability can result.</t>
  </si>
  <si>
    <t>Drain-oil water content, Fe/PQ/BN analysis, scavenge inspection, leak checks, and operating-condition review.</t>
  </si>
  <si>
    <t>Investigate water sources, maintain fuel/air and cooling systems, keep SDA frequency adequate, and correct abnormal water/wear findings promptly.</t>
  </si>
  <si>
    <t>Everllence SL2025-776/NHN, scavenge drain oil analysis; CIMAC Recommendation 31</t>
  </si>
  <si>
    <t>https://www.everllence.com/docs/default-source/service-letters/sl2025-776.pdf?sfvrsn=a067f80a_3
https://www.cimac.com/cms/upload/workinggroups/WG8/Documents/Recommendations/Recommendation_31_2018-03-25_CIMAC_WG8-SG4_2-Stroke_Lubrication_FINAL.pdf</t>
  </si>
  <si>
    <t>A-LUB-P09</t>
  </si>
  <si>
    <t>Bore polish or damaged liner surface reducing oil retention</t>
  </si>
  <si>
    <t>The liner surface can lose the texture needed to retain and distribute oil because of wear, polishing, deposits, or unsuitable running-in/maintenance condition.</t>
  </si>
  <si>
    <t>Oil retention on the liner becomes weaker and lubrication becomes less robust. Ring sealing and running surface behaviour degrade.</t>
  </si>
  <si>
    <t>Progressive wear, scuffing susceptibility, and reduced overhaul interval may follow.</t>
  </si>
  <si>
    <t>Scavenge-port inspection, liner surface/replica checks, drain-oil trend, and ring-condition inspection.</t>
  </si>
  <si>
    <t>Maintain proper running-in, avoid prolonged unsuitable lubrication/feed settings, and follow liner-honing/inspection guidance.</t>
  </si>
  <si>
    <t>Chief Engineer / OEM service / Superintendent</t>
  </si>
  <si>
    <t>CIMAC Recommendation 31; CIMAC Guideline 03/2023, Scuffing in two-stroke engines</t>
  </si>
  <si>
    <t>https://www.cimac.com/cms/upload/workinggroups/WG8/Documents/Recommendations/Recommendation_31_2018-03-25_CIMAC_WG8-SG4_2-Stroke_Lubrication_FINAL.pdf
https://www.cimac.com/cms/upload/workinggroups/WG8/Documents/2023-03-02_CIMAC_Guideline_Scuffing_FINAL.pdf</t>
  </si>
  <si>
    <t>A-LUB-H01</t>
  </si>
  <si>
    <t>Hardware Failure</t>
  </si>
  <si>
    <t>Low or missing accumulator pressure</t>
  </si>
  <si>
    <t>Accumulator gas charge or hydraulic pressure margin is lost because refilling/maintenance is overdue or the accumulator deteriorates.</t>
  </si>
  <si>
    <t>Lubricator delivery pressure and pulse behaviour can become unstable. MAN service experience links low/missing accumulator pressure to excessive lubrication above setpoint.</t>
  </si>
  <si>
    <t>Incorrect lubrication amount, unstable injection, higher oil consumption, deposits, and reliability loss can result.</t>
  </si>
  <si>
    <t>Accumulator pressure checks/refilling records, delivery test, consumption trend, and lubricator alarm review.</t>
  </si>
  <si>
    <t>Refill/check accumulators at OEM intervals and replace according to service-kit/overhaul strategy.</t>
  </si>
  <si>
    <t>MAN Energy Solutions SL2016-632/AAB, Alpha Lubricator service experience; MAN Energy Solutions SL2019-673/PRP, accumulator safety information</t>
  </si>
  <si>
    <t xml:space="preserve">https://www.man-es.com/docs/default-source/service-letters/sl2016-632.pdf
https://www.man-es.com/docs/default-source/service-letters/sl2019-673.pdf </t>
  </si>
  <si>
    <t>A-LUB-H02</t>
  </si>
  <si>
    <t>Worn or sticking solenoid valve</t>
  </si>
  <si>
    <t>Solenoid valves in the lubricator age, wear, stick, or respond inconsistently. MAN identifies solenoid valves as service-kit components whose poor condition can affect correct dosing.</t>
  </si>
  <si>
    <t>Oil delivery per command becomes unreliable and may exceed or deviate from the setpoint.</t>
  </si>
  <si>
    <t>Over-lubrication, under-lubrication, deposits, or cylinder wear risk may increase.</t>
  </si>
  <si>
    <t>Functional test, cylinder-by-cylinder consumption trend, alarm/event review, and inspection during overhaul.</t>
  </si>
  <si>
    <t>Replace solenoid valves at recommended intervals and test delivery after maintenance.</t>
  </si>
  <si>
    <t>A-LUB-H03</t>
  </si>
  <si>
    <t>Defective non-return valve</t>
  </si>
  <si>
    <t>Non-return valves wear, leak, or fail to seal. MAN service experience lists defective non-return valves as a cause of dosing above setpoint.</t>
  </si>
  <si>
    <t>Oil can leak or backflow, causing delivery deviation and unstable injection behaviour.</t>
  </si>
  <si>
    <t>Excessive lubrication, deposits, oil wastage, or local poor lubrication control may follow.</t>
  </si>
  <si>
    <t>Bench/functional test, cylinder oil consumption comparison, pressure decay checks, and overhaul inspection.</t>
  </si>
  <si>
    <t>Replace non-return valves according to overhaul strategy; verify delivery and pressure behaviour after service.</t>
  </si>
  <si>
    <t>A-LUB-H04</t>
  </si>
  <si>
    <t>Pump-station filter restriction / high pressure drop</t>
  </si>
  <si>
    <t>Filter inserts in the lubricator pump station become restricted by contamination or age. MAN recommends monitoring pressure drop across these filters.</t>
  </si>
  <si>
    <t>Oil supply pressure to lubricators becomes restricted or unstable. Delivery reliability can degrade.</t>
  </si>
  <si>
    <t>Under-lubrication, alarms, poor delivery stability, or increased component stress can result.</t>
  </si>
  <si>
    <t>Monitor pressure drop across pump-station filters, inspect filters, and review low-flow/pressure alarms.</t>
  </si>
  <si>
    <t>Replace filter inserts on schedule; maintain oil cleanliness and pump-station service kit components.</t>
  </si>
  <si>
    <t>2nd Engineer / Chief Engineer</t>
  </si>
  <si>
    <t>A-LUB-H05</t>
  </si>
  <si>
    <t>Seal / O-ring leakage in lubricator unit</t>
  </si>
  <si>
    <t>Sealings and O-rings age, harden, or are damaged during service. MAN includes them in the Alpha lubricator maintenance-kit scope.</t>
  </si>
  <si>
    <t>External oil leakage or internal pressure leakage can occur. Delivery pressure and dosing accuracy may degrade.</t>
  </si>
  <si>
    <t>Oil loss, contamination of electrical areas, unreliable dosing, and increased maintenance workload can result.</t>
  </si>
  <si>
    <t>Leak inspection, pressure/consumption trend, lubricator functional test, and overhaul inspection.</t>
  </si>
  <si>
    <t>Replace seals/O-rings at overhaul intervals and follow OEM assembly/cleanliness practices.</t>
  </si>
  <si>
    <t>A-LUB-H06</t>
  </si>
  <si>
    <t>Oil-feed unit pump / pressure delivery fault</t>
  </si>
  <si>
    <t>The cylinder-oil supply pump, standby pump, pressure transmitter, piping, non-return valve, or pump-station components fail to maintain required pressure or delivery.</t>
  </si>
  <si>
    <t>Cylinder-oil pressure can become low or unstable, standby pump operation may be required, and delivery to lubricators can become unreliable.</t>
  </si>
  <si>
    <t>Loss or instability of oil supply can produce under-lubrication, alarms, slow-down, and increased ring/liner damage risk.</t>
  </si>
  <si>
    <t>HMI pressure alarms, comparison of HMI pressure with local pressure gauge, standby pump alarm, leakage checks, filter pressure-drop monitoring, and pump/non-return valve inspection.</t>
  </si>
  <si>
    <t>Maintain pump-station filters, non-return valves and accumulators; check pressure transmitters and piping; test standby pump response.</t>
  </si>
  <si>
    <t>Chief Engineer / 2nd Engineer / Electrical Officer</t>
  </si>
  <si>
    <t>Hitachi-MAN B&amp;W HSD-B12101E, Alpha lubricator troubleshooting; MAN Energy Solutions SL2016-632/AAB, Alpha Lubricator service experience; MAN Energy Solutions SL2019-673/PRP, accumulator safety information</t>
  </si>
  <si>
    <t>https://hzme.hitachizosen.co.jp/sitekanri/media/2023/04/B12101E.pdf
https://www.man-es.com/docs/default-source/service-letters/sl2016-632.pdf
https://www.man-es.com/docs/default-source/service-letters/sl2019-673.pdf</t>
  </si>
  <si>
    <t>A-LUB-H07</t>
  </si>
  <si>
    <t>Lubrication quill / nozzle restriction or blockage</t>
  </si>
  <si>
    <t>A lubrication nozzle/quill becomes restricted, blocked, worn, or fouled by deposits/hard particles, so cylinder oil from the lubricator does not reach the liner/ring pack as intended at that injection point. The Hitachi troubleshooting flow explicitly includes nozzle replacement as a corrective step when a feedback-signal alarm recurs after lubricator/solenoid/intermediate-box checks are exhausted.</t>
  </si>
  <si>
    <t>One or more injection points deliver insufficient or poorly distributed oil despite the control system, sensors, and actuation signals otherwise operating correctly. Local liner areas can lose oil coverage even though the system reports normal operation elsewhere.</t>
  </si>
  <si>
    <t>Local scuffing, ring distress, liner scoring, and cylinder damage can occur if the affected point remains starved, since the blockage is mechanical and not directly visible to the control/alarm system until an alarm recurs.</t>
  </si>
  <si>
    <t>Specific-cylinder feedback alarms, intermediate-box LEDs, pressure/consumption trends, scavenge-port inspection, and nozzle/quill functional checks per the alarm-recurrence troubleshooting sequence.</t>
  </si>
  <si>
    <t>Inspect, clean, or replace quills/nozzles according to OEM practice; verify delivery after overhaul; maintain oil cleanliness and pressure to reduce fouling risk.</t>
  </si>
  <si>
    <t>Hitachi-MAN B&amp;W HSD-B12101E, Alpha lubricator troubleshooting; CIMAC Guideline 11/2017, Cold corrosion in marine two-stroke engines; He et al. 2019, electronically controlled cylinder lubrication</t>
  </si>
  <si>
    <t>https://hzme.hitachizosen.co.jp/sitekanri/media/2023/04/B12101E.pdf
https://www.cimac.com/cms/upload/Publication_Press/WG_Publications/CIMAC_WG8_Guideline_2017_Two_Stroke_Engine_Cold_Corrosion.pdf
https://strathprints.strath.ac.uk/66748/1/He_etal_IJER_2019_New_concept_and_design_of_electronically_controlled_cylinder_lubrication_system.pdf</t>
  </si>
  <si>
    <t>A-LUB-F01</t>
  </si>
  <si>
    <t>Protection / Safety Function Failure</t>
  </si>
  <si>
    <t>Backup / untimed lubrication mode unavailable or not managed</t>
  </si>
  <si>
    <t>The backup lubrication path is unavailable because of BCU unit/pickup/power/wiring faults, or operators do not recognize that the system has entered BCU-controlled untimed injection.</t>
  </si>
  <si>
    <t>The system may lose timed injection and rely on degraded backup control, or may fail to maintain lubrication if the backup path also fails.</t>
  </si>
  <si>
    <t>Unrecognized degraded lubrication, delayed corrective action, ring/liner wear, and possible engine slow-down if lubrication cannot be maintained.</t>
  </si>
  <si>
    <t>BCU-in-control indication, common alarm/slowdown, BCU pickup alarms, HMI alarm log, local BCU LEDs, and verification of 24 V supply.</t>
  </si>
  <si>
    <t>Test BCU pickup and backup mode functions, maintain ALCU power supply and spares, and train operators to treat backup-mode operation as a degraded state.</t>
  </si>
  <si>
    <t>MAN Energy Solutions SL2025-766/ANRE, ALCU 2R; Hitachi-MAN B&amp;W HSD-B12101E, Alpha lubricator troubleshooting; MAN Energy Solutions SL2016-632/AAB, Alpha Lubricator service experience</t>
  </si>
  <si>
    <t>https://www.man-es.com/docs/default-source/service-letters/sl2025-766.pdf?sfvrsn=5a905c2f_3
https://hzme.hitachizosen.co.jp/sitekanri/media/2023/04/B12101E.pdf
https://www.man-es.com/docs/default-source/service-letters/sl2016-632.pdf</t>
  </si>
  <si>
    <t>A-LUB-F02</t>
  </si>
  <si>
    <t>Main cylinder-oil supply valve closed or mis-installed without non-flow alarm</t>
  </si>
  <si>
    <t>The main lubricating-oil supply valve to the Alpha lubricator is installed or handled so that cylinder oil supply is stopped without venting the lubricator system. In that state the non-flow cylinder-oil alarm may not activate.</t>
  </si>
  <si>
    <t>The running engine can receive no cylinder oil while the expected non-flow alarm is absent. Crew awareness is delayed until damage symptoms appear.</t>
  </si>
  <si>
    <t>Severe scuffing and combustion-chamber component damage can occur during continued operation.</t>
  </si>
  <si>
    <t>Verify valve position/end-stops, confirm non-flow alarm function when closed/vented, monitor oil consumption and cylinder condition after valve work.</t>
  </si>
  <si>
    <t>Install the three-way valve with only locked open/closed positions and the correct venting function; follow the MAN service letter and check after maintenance.</t>
  </si>
  <si>
    <t>Chief Engineer / 2nd Engineer / Shipyard</t>
  </si>
  <si>
    <t>MAN Energy Solutions SL2022-731/TOV, lubricating-oil supply valve</t>
  </si>
  <si>
    <t>https://www.man-es.com/docs/default-source/service-letters/sl2022-731.pdf?sfvrsn=6624708c_4</t>
  </si>
  <si>
    <t>A-LUB-F03</t>
  </si>
  <si>
    <t>Common alarm / slow-down signal path failure</t>
  </si>
  <si>
    <t>The common alarm or slow-down path from the lubricator control system to the engine alarm/safety system is disconnected, miswired, or not tested after maintenance.</t>
  </si>
  <si>
    <t>A lubricator fault may remain locally indicated while the expected common alarm or slow-down signal is not transferred to the external alarm/safety system.</t>
  </si>
  <si>
    <t>Delayed operator awareness, continued operation with degraded lubrication, and loss of intended protective escalation.</t>
  </si>
  <si>
    <t>Functional test of common alarm and slow-down outputs, continuity checks, HMI/BCU alarm simulation, and verification in the engine alarm-monitoring system.</t>
  </si>
  <si>
    <t>Test external alarm/slow-down wiring after commissioning and maintenance; verify contact logic and maintain terminal/relay condition.</t>
  </si>
  <si>
    <t>MAN Energy Solutions SL2025-766/ANRE, ALCU 2R; Hitachi-MAN B&amp;W HSD-B12101E, Alpha lubricator troubleshooting</t>
  </si>
  <si>
    <t>https://www.man-es.com/docs/default-source/service-letters/sl2025-766.pdf?sfvrsn=5a905c2f_3
https://hzme.hitachizosen.co.jp/sitekanri/media/2023/04/B12101E.pdf</t>
  </si>
  <si>
    <t>A-LUB-F04</t>
  </si>
  <si>
    <t>Backup / untimed lubrication mode not recognized or managed</t>
  </si>
  <si>
    <t>After a lubrication-control fault, the system may continue in a backup or untimed injection mode based on BCU pickups/speed rather than normal shaft-encoder timing, but this degraded operating state is not recognized or managed promptly.</t>
  </si>
  <si>
    <t>Timed lubrication performance is degraded, and operators may not apply the required enhanced monitoring or corrective action.</t>
  </si>
  <si>
    <t>Secondary faults can remain unnoticed during degraded operation, increasing the risk of under-lubrication, abnormal wear, and engine slow-down.</t>
  </si>
  <si>
    <t>BCU-in-control indication, common alarm/slow-down signal, BCU pickup checks, HMI alarm log, and local BCU LEDs.</t>
  </si>
  <si>
    <t>Define watchkeeping instructions for backup-mode operation; inspect/repair root cause and restore normal timed control at the earliest safe opportunity.</t>
  </si>
  <si>
    <t>Chief Engineer / Second Engineer</t>
  </si>
  <si>
    <t>A-LUB-I01</t>
  </si>
  <si>
    <t>HMI Failure</t>
  </si>
  <si>
    <t>HMI alarm / BCU status indication unavailable or not checked</t>
  </si>
  <si>
    <t>Alpha lubricator alarms are normally checked through HMI alarm numbers or BCU LED indications; the operator may lose visibility because the HMI/status indication is unavailable, ignored, or not cross-checked locally.</t>
  </si>
  <si>
    <t>Alarm identification and troubleshooting are delayed even when the underlying lubricator alarm or BCU condition is present.</t>
  </si>
  <si>
    <t>Delayed response to lubrication faults, continued operation under degraded conditions, and increased risk of wear or slow-down.</t>
  </si>
  <si>
    <t>Check HMI alarm numbers, BCU LEDs, common alarm/slowdown outputs, local indicators, and alarm history.</t>
  </si>
  <si>
    <t>Include HMI/BCU indication checks in watchkeeping and maintenance routines; train staff to use BCU LED/status information when troubleshooting.</t>
  </si>
  <si>
    <t>Hitachi-MAN B&amp;W HSD-B12101E, Alpha lubricator troubleshooting; MAN Energy Solutions SL2025-766/ANRE, ALCU 2R</t>
  </si>
  <si>
    <t>https://hzme.hitachizosen.co.jp/sitekanri/media/2023/04/B12101E.pdf
https://www.man-es.com/docs/default-source/service-letters/sl2025-766.pdf?sfvrsn=5a905c2f_3</t>
  </si>
  <si>
    <t>A-LUB-E01</t>
  </si>
  <si>
    <t>Human Error</t>
  </si>
  <si>
    <t>Wrong cylinder oil BN/detergency for fuel and engine condition</t>
  </si>
  <si>
    <t>The selected cylinder oil is not matched to fuel sulphur, engine type, operating condition, or deposit-control demand. A low-BN or unsuitable oil may under-neutralise acids; excessive BN or poor cleanliness may increase deposit risk.</t>
  </si>
  <si>
    <t>The ring–liner interface is exposed either to corrosive wear or deposit-related impairment. Drain-oil BN/Fe trends may move outside the expected range.</t>
  </si>
  <si>
    <t>Accelerated wear, deposits, scuffing risk, and reduced cylinder reliability can result.</t>
  </si>
  <si>
    <t>Fuel sulphur records, lubricant specification review, drain-oil residual BN/Fe/PQ, and periodic cylinder inspections.</t>
  </si>
  <si>
    <t>Use OEM and lubricant-supplier guidance for oil grade changes; review feed rate and BN after fuel changes; verify with SDA.</t>
  </si>
  <si>
    <t>Chief Engineer / Superintendent / Lubricant supplier</t>
  </si>
  <si>
    <t>CIMAC Guideline 11/2017, Cold corrosion in marine two-stroke engines; CIMAC Recommendation 31; MAN Energy Solutions SL2023-737/NHN, cylinder oil feed rate; Hitachi-MAN B&amp;W HSD-B14101E, Alpha cylinder lubrication guidelines</t>
  </si>
  <si>
    <t>https://www.cimac.com/cms/upload/Publication_Press/WG_Publications/CIMAC_WG8_Guideline_2017_Two_Stroke_Engine_Cold_Corrosion.pdf
https://www.cimac.com/cms/upload/workinggroups/WG8/Documents/Recommendations/Recommendation_31_2018-03-25_CIMAC_WG8-SG4_2-Stroke_Lubrication_FINAL.pdf
https://www.man-es.com/docs/default-source/service-letters/sl2023-737.pdf?sfvrsn=c4bf0da1_4
https://hzme.hitachizosen.co.jp/sitekanri/media/2023/04/B14101E.pdf</t>
  </si>
  <si>
    <t>A-LUB-E02</t>
  </si>
  <si>
    <t>Feed-rate reduction without inspection, sweep test, or SDA follow-up</t>
  </si>
  <si>
    <t>Feed rate is reduced based on cost or generic guidance without confirming cylinder condition, drain-oil trend, fuel sulphur/BN match, or post-change inspection.</t>
  </si>
  <si>
    <t>Oil film and acid neutralisation margin may become too low for the actual engine condition.</t>
  </si>
  <si>
    <t>Scuffing, cold corrosion, abnormal wear, and avoidable cylinder damage can occur.</t>
  </si>
  <si>
    <t>Review feed-rate change logs, SDA before/after change, scavenge-port inspection records, liner temperature, and MOP/HMI trend.</t>
  </si>
  <si>
    <t>Use OEM guidance, conduct SDA/sweep tests as appropriate, and inspect cylinders before and after significant feed-rate changes.</t>
  </si>
  <si>
    <t>Chief Engineer / Superintendent</t>
  </si>
  <si>
    <t>MAN Energy Solutions SL2023-737/NHN, cylinder oil feed rate; CIMAC Guideline 11/2017, Cold corrosion in marine two-stroke engines; Everllence SL2025-776/NHN, scavenge drain oil analysis; Hitachi-MAN B&amp;W HSD-B14101E, Alpha cylinder lubrication guidelines</t>
  </si>
  <si>
    <t>https://www.man-es.com/docs/default-source/service-letters/sl2023-737.pdf?sfvrsn=c4bf0da1_4
https://www.cimac.com/cms/upload/Publication_Press/WG_Publications/CIMAC_WG8_Guideline_2017_Two_Stroke_Engine_Cold_Corrosion.pdf
https://www.everllence.com/docs/default-source/service-letters/sl2025-776.pdf?sfvrsn=a067f80a_3
https://hzme.hitachizosen.co.jp/sitekanri/media/2023/04/B14101E.pdf</t>
  </si>
  <si>
    <t>A-LUB-E03</t>
  </si>
  <si>
    <t>Abnormal drain-oil wear trend not acted upon</t>
  </si>
  <si>
    <t>Drain-oil Fe/PQ/BN/water results show abnormal or escalating wear, but sampling frequency, interpretation, or follow-up action is inadequate.</t>
  </si>
  <si>
    <t>The lubrication or wear problem continues without corrective action. Early warning information is lost operationally.</t>
  </si>
  <si>
    <t>Cylinder damage, scuffing, liner/ring replacement, and loss of propulsion availability become more likely.</t>
  </si>
  <si>
    <t>SDA trend review, alarm thresholds for Fe/PQ/BN, laboratory reports, and management-of-change checks after abnormal results.</t>
  </si>
  <si>
    <t>Define escalation limits, increase sampling frequency for abnormal wear, raise feed rate or inspect cylinders when indicated.</t>
  </si>
  <si>
    <t>Chief Engineer / Superintendent / Laboratory</t>
  </si>
  <si>
    <t>Everllence SL2025-776/NHN, scavenge drain oil analysis; MAN Energy Solutions SL2023-737/NHN, cylinder oil feed rate</t>
  </si>
  <si>
    <t>https://www.everllence.com/docs/default-source/service-letters/sl2025-776.pdf?sfvrsn=a067f80a_3
https://www.man-es.com/docs/default-source/service-letters/sl2023-737.pdf?sfvrsn=c4bf0da1_4</t>
  </si>
  <si>
    <t>A-LUB-E04</t>
  </si>
  <si>
    <t>Incorrect running-in / breaking-in lubrication setting</t>
  </si>
  <si>
    <t>A new or overhauled liner/ring set is run with normal or reduced lubrication before the surfaces have stabilised. Running-in oil/feed requirements are not followed.</t>
  </si>
  <si>
    <t>Surface bedding is poor and wear particles or local hot spots may increase. The liner surface may develop an unfavourable condition.</t>
  </si>
  <si>
    <t>Early scuffing, abnormal wear, or reduced liner/ring life may occur shortly after overhaul.</t>
  </si>
  <si>
    <t>Review overhaul/running-in logs, feed-rate settings, SDA results, scavenge inspections, and liner/ring condition after running-in.</t>
  </si>
  <si>
    <t>Follow OEM/CIMAC running-in feed-rate and inspection guidance; avoid aggressive optimisation during breaking-in.</t>
  </si>
  <si>
    <t>CIMAC Recommendation 31; MAN Energy Solutions SL2023-737/NHN, cylinder oil feed rate; Hitachi-MAN B&amp;W HSD-B14101E, Alpha cylinder lubrication guidelines</t>
  </si>
  <si>
    <t>https://www.cimac.com/cms/upload/workinggroups/WG8/Documents/Recommendations/Recommendation_31_2018-03-25_CIMAC_WG8-SG4_2-Stroke_Lubrication_FINAL.pdf
https://www.man-es.com/docs/default-source/service-letters/sl2023-737.pdf?sfvrsn=c4bf0da1_4
https://hzme.hitachizosen.co.jp/sitekanri/media/2023/04/B14101E.pdf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</si>
</sst>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name val="Arial"/>
      <family val="2"/>
      <charset val="1"/>
    </font>
    <font>
      <sz val="11"/>
      <name val="Calibri"/>
      <charset val="1"/>
    </font>
    <font>
      <b/>
      <sz val="10"/>
      <color rgb="FFFFFFFF"/>
      <name val="Calibri"/>
      <charset val="1"/>
    </font>
    <font>
      <sz val="9"/>
      <name val="Calibri"/>
      <charset val="1"/>
    </font>
    <font>
      <u/>
      <sz val="10"/>
      <color theme="10"/>
      <name val="Arial"/>
      <family val="2"/>
      <charset val="1"/>
    </font>
  </fonts>
  <fills count="3">
    <fill>
      <patternFill patternType="none"/>
    </fill>
    <fill>
      <patternFill patternType="gray125"/>
    </fill>
    <fill>
      <patternFill patternType="solid">
        <fgColor theme="4"/>
        <bgColor rgb="FF008080"/>
      </patternFill>
    </fill>
  </fills>
  <borders count="1">
    <border>
      <left/>
      <right/>
      <top/>
      <bottom/>
      <diagonal/>
    </border>
  </borders>
  <cellStyleXfs count="3">
    <xf numFmtId="0" fontId="0" fillId="0" borderId="0"/>
    <xf numFmtId="0" fontId="1" fillId="0" borderId="0"/>
    <xf numFmtId="0" fontId="4" fillId="0" borderId="0" applyNumberFormat="0" applyFill="0" applyBorder="0" applyAlignment="0" applyProtection="0"/>
  </cellStyleXfs>
  <cellXfs count="7">
    <xf numFmtId="0" fontId="0" fillId="0" borderId="0" xfId="0"/>
    <xf numFmtId="0" fontId="2" fillId="2" borderId="0" xfId="1" applyFont="1" applyFill="1" applyAlignment="1">
      <alignment horizontal="center" vertical="center" wrapText="1"/>
    </xf>
    <xf numFmtId="0" fontId="0" fillId="2" borderId="0" xfId="0" applyFill="1"/>
    <xf numFmtId="0" fontId="3" fillId="0" borderId="0" xfId="1" applyFont="1" applyAlignment="1">
      <alignment horizontal="center" vertical="top" wrapText="1"/>
    </xf>
    <xf numFmtId="0" fontId="3" fillId="0" borderId="0" xfId="1" applyFont="1" applyAlignment="1">
      <alignment vertical="top" wrapText="1"/>
    </xf>
    <xf numFmtId="1" fontId="3" fillId="0" borderId="0" xfId="1" applyNumberFormat="1" applyFont="1" applyAlignment="1">
      <alignment horizontal="center" vertical="top" wrapText="1"/>
    </xf>
    <xf numFmtId="0" fontId="4" fillId="0" borderId="0" xfId="2" applyAlignment="1">
      <alignment vertical="top" wrapText="1"/>
    </xf>
  </cellXfs>
  <cellStyles count="3">
    <cellStyle name="Hyperlink" xfId="2" builtinId="8"/>
    <cellStyle name="Normal" xfId="0" builtinId="0"/>
    <cellStyle name="Normal 2" xfId="1"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LUBFMsTable" displayName="ALUBFMsTable" ref="A1:N38" totalsRowShown="0">
  <tableColumns count="14">
    <tableColumn id="1" xr3:uid="{00000000-0010-0000-0000-000001000000}" name="FM ID"/>
    <tableColumn id="2" xr3:uid="{00000000-0010-0000-0000-000002000000}" name="FM Class"/>
    <tableColumn id="3" xr3:uid="{00000000-0010-0000-0000-000003000000}" name="Failure Mode (FM)"/>
    <tableColumn id="4" xr3:uid="{00000000-0010-0000-0000-000004000000}" name="Potential Causes &amp; Mechanism(s) of the FM"/>
    <tableColumn id="5" xr3:uid="{00000000-0010-0000-0000-000005000000}" name="Potential Technical Effects of the FM"/>
    <tableColumn id="6" xr3:uid="{00000000-0010-0000-0000-000006000000}" name="Potential Consequences of the FM"/>
    <tableColumn id="7" xr3:uid="{00000000-0010-0000-0000-000007000000}" name="Severity (1-10)"/>
    <tableColumn id="8" xr3:uid="{00000000-0010-0000-0000-000008000000}" name="Probability (1-10)"/>
    <tableColumn id="9" xr3:uid="{00000000-0010-0000-0000-000009000000}" name="RPN (S x P)"/>
    <tableColumn id="10" xr3:uid="{00000000-0010-0000-0000-00000A000000}" name="Detective Controls"/>
    <tableColumn id="11" xr3:uid="{00000000-0010-0000-0000-00000B000000}" name="Preventive Controls"/>
    <tableColumn id="12" xr3:uid="{00000000-0010-0000-0000-00000C000000}" name="Responsibility"/>
    <tableColumn id="13" xr3:uid="{00000000-0010-0000-0000-00000D000000}" name="Source"/>
    <tableColumn id="14" xr3:uid="{00000000-0010-0000-0000-00000E000000}" name="Link"/>
  </tableColumns>
  <tableStyleInfo showFirstColumn="0" showLastColumn="0" showRowStripes="1" showColumnStripes="0"/>
</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www.man-es.com/docs/default-source/service-letters/sl2016-63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9"/>
  <sheetViews>
    <sheetView tabSelected="1" topLeftCell="M32" zoomScaleNormal="100" workbookViewId="0">
      <selection activeCell="N36" sqref="N36"/>
    </sheetView>
  </sheetViews>
  <sheetFormatPr defaultColWidth="8.7109375" defaultRowHeight="12.75"/>
  <cols>
    <col min="1" max="1" width="12" customWidth="1"/>
    <col min="2" max="2" width="24" customWidth="1"/>
    <col min="3" max="3" width="34" customWidth="1"/>
    <col min="4" max="6" width="48" customWidth="1"/>
    <col min="7" max="9" width="12" customWidth="1"/>
    <col min="10" max="11" width="45" customWidth="1"/>
    <col min="12" max="12" width="28" customWidth="1"/>
    <col min="13" max="13" width="46" customWidth="1"/>
    <col min="14" max="14" width="62" customWidth="1"/>
  </cols>
  <sheetData>
    <row r="1" spans="1:14" s="2" customFormat="1" ht="42"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spans="1:14" ht="64.5" customHeight="1">
      <c r="A2" s="3" t="s">
        <v>14</v>
      </c>
      <c r="B2" s="4" t="s">
        <v>15</v>
      </c>
      <c r="C2" s="4" t="s">
        <v>16</v>
      </c>
      <c r="D2" s="4" t="s">
        <v>17</v>
      </c>
      <c r="E2" s="4" t="s">
        <v>18</v>
      </c>
      <c r="F2" s="4" t="s">
        <v>19</v>
      </c>
      <c r="G2" s="5">
        <v>8</v>
      </c>
      <c r="H2" s="5">
        <v>3</v>
      </c>
      <c r="I2" s="5">
        <f t="shared" ref="I2:I39" si="0">G2*H2</f>
        <v>24</v>
      </c>
      <c r="J2" s="4" t="s">
        <v>20</v>
      </c>
      <c r="K2" s="4" t="s">
        <v>21</v>
      </c>
      <c r="L2" s="4" t="s">
        <v>22</v>
      </c>
      <c r="M2" s="4" t="s">
        <v>23</v>
      </c>
      <c r="N2" s="4" t="s">
        <v>24</v>
      </c>
    </row>
    <row r="3" spans="1:14" ht="64.5" customHeight="1">
      <c r="A3" s="3" t="s">
        <v>25</v>
      </c>
      <c r="B3" s="4" t="s">
        <v>26</v>
      </c>
      <c r="C3" s="4" t="s">
        <v>27</v>
      </c>
      <c r="D3" s="4" t="s">
        <v>28</v>
      </c>
      <c r="E3" s="4" t="s">
        <v>29</v>
      </c>
      <c r="F3" s="4" t="s">
        <v>30</v>
      </c>
      <c r="G3" s="5">
        <v>7</v>
      </c>
      <c r="H3" s="5">
        <v>4</v>
      </c>
      <c r="I3" s="5">
        <f t="shared" si="0"/>
        <v>28</v>
      </c>
      <c r="J3" s="4" t="s">
        <v>31</v>
      </c>
      <c r="K3" s="4" t="s">
        <v>32</v>
      </c>
      <c r="L3" s="4" t="s">
        <v>33</v>
      </c>
      <c r="M3" s="4" t="s">
        <v>23</v>
      </c>
      <c r="N3" s="4" t="s">
        <v>24</v>
      </c>
    </row>
    <row r="4" spans="1:14" ht="64.5" customHeight="1">
      <c r="A4" s="3" t="s">
        <v>34</v>
      </c>
      <c r="B4" s="4" t="s">
        <v>26</v>
      </c>
      <c r="C4" s="4" t="s">
        <v>35</v>
      </c>
      <c r="D4" s="4" t="s">
        <v>36</v>
      </c>
      <c r="E4" s="4" t="s">
        <v>37</v>
      </c>
      <c r="F4" s="4" t="s">
        <v>38</v>
      </c>
      <c r="G4" s="5">
        <v>8</v>
      </c>
      <c r="H4" s="5">
        <v>3</v>
      </c>
      <c r="I4" s="5">
        <f t="shared" si="0"/>
        <v>24</v>
      </c>
      <c r="J4" s="4" t="s">
        <v>39</v>
      </c>
      <c r="K4" s="4" t="s">
        <v>40</v>
      </c>
      <c r="L4" s="4" t="s">
        <v>33</v>
      </c>
      <c r="M4" s="4" t="s">
        <v>41</v>
      </c>
      <c r="N4" s="4" t="s">
        <v>42</v>
      </c>
    </row>
    <row r="5" spans="1:14" ht="64.5" customHeight="1">
      <c r="A5" s="3" t="s">
        <v>43</v>
      </c>
      <c r="B5" s="4" t="s">
        <v>26</v>
      </c>
      <c r="C5" s="4" t="s">
        <v>44</v>
      </c>
      <c r="D5" s="4" t="s">
        <v>45</v>
      </c>
      <c r="E5" s="4" t="s">
        <v>46</v>
      </c>
      <c r="F5" s="4" t="s">
        <v>47</v>
      </c>
      <c r="G5" s="5">
        <v>6</v>
      </c>
      <c r="H5" s="5">
        <v>4</v>
      </c>
      <c r="I5" s="5">
        <f t="shared" si="0"/>
        <v>24</v>
      </c>
      <c r="J5" s="4" t="s">
        <v>48</v>
      </c>
      <c r="K5" s="4" t="s">
        <v>49</v>
      </c>
      <c r="L5" s="4" t="s">
        <v>50</v>
      </c>
      <c r="M5" s="4" t="s">
        <v>51</v>
      </c>
      <c r="N5" s="4" t="s">
        <v>52</v>
      </c>
    </row>
    <row r="6" spans="1:14" ht="64.5" customHeight="1">
      <c r="A6" s="3" t="s">
        <v>53</v>
      </c>
      <c r="B6" s="4" t="s">
        <v>26</v>
      </c>
      <c r="C6" s="4" t="s">
        <v>54</v>
      </c>
      <c r="D6" s="4" t="s">
        <v>55</v>
      </c>
      <c r="E6" s="4" t="s">
        <v>56</v>
      </c>
      <c r="F6" s="4" t="s">
        <v>57</v>
      </c>
      <c r="G6" s="5">
        <v>6</v>
      </c>
      <c r="H6" s="5">
        <v>3</v>
      </c>
      <c r="I6" s="5">
        <f t="shared" si="0"/>
        <v>18</v>
      </c>
      <c r="J6" s="4" t="s">
        <v>58</v>
      </c>
      <c r="K6" s="4" t="s">
        <v>59</v>
      </c>
      <c r="L6" s="4" t="s">
        <v>60</v>
      </c>
      <c r="M6" s="4" t="s">
        <v>51</v>
      </c>
      <c r="N6" s="4" t="s">
        <v>52</v>
      </c>
    </row>
    <row r="7" spans="1:14" ht="64.5" customHeight="1">
      <c r="A7" s="3" t="s">
        <v>61</v>
      </c>
      <c r="B7" s="4" t="s">
        <v>26</v>
      </c>
      <c r="C7" s="4" t="s">
        <v>62</v>
      </c>
      <c r="D7" s="4" t="s">
        <v>63</v>
      </c>
      <c r="E7" s="4" t="s">
        <v>64</v>
      </c>
      <c r="F7" s="4" t="s">
        <v>65</v>
      </c>
      <c r="G7" s="5">
        <v>7</v>
      </c>
      <c r="H7" s="5">
        <v>4</v>
      </c>
      <c r="I7" s="5">
        <f t="shared" si="0"/>
        <v>28</v>
      </c>
      <c r="J7" s="4" t="s">
        <v>66</v>
      </c>
      <c r="K7" s="4" t="s">
        <v>67</v>
      </c>
      <c r="L7" s="4" t="s">
        <v>68</v>
      </c>
      <c r="M7" s="4" t="s">
        <v>69</v>
      </c>
      <c r="N7" s="4" t="s">
        <v>70</v>
      </c>
    </row>
    <row r="8" spans="1:14" ht="64.5" customHeight="1">
      <c r="A8" s="3" t="s">
        <v>71</v>
      </c>
      <c r="B8" s="4" t="s">
        <v>26</v>
      </c>
      <c r="C8" s="4" t="s">
        <v>72</v>
      </c>
      <c r="D8" s="4" t="s">
        <v>73</v>
      </c>
      <c r="E8" s="4" t="s">
        <v>74</v>
      </c>
      <c r="F8" s="4" t="s">
        <v>75</v>
      </c>
      <c r="G8" s="5">
        <v>7</v>
      </c>
      <c r="H8" s="5">
        <v>3</v>
      </c>
      <c r="I8" s="5">
        <f t="shared" si="0"/>
        <v>21</v>
      </c>
      <c r="J8" s="4" t="s">
        <v>76</v>
      </c>
      <c r="K8" s="4" t="s">
        <v>77</v>
      </c>
      <c r="L8" s="4" t="s">
        <v>78</v>
      </c>
      <c r="M8" s="4" t="s">
        <v>79</v>
      </c>
      <c r="N8" s="4" t="s">
        <v>80</v>
      </c>
    </row>
    <row r="9" spans="1:14" ht="64.5" customHeight="1">
      <c r="A9" s="3" t="s">
        <v>81</v>
      </c>
      <c r="B9" s="4" t="s">
        <v>26</v>
      </c>
      <c r="C9" s="4" t="s">
        <v>82</v>
      </c>
      <c r="D9" s="4" t="s">
        <v>83</v>
      </c>
      <c r="E9" s="4" t="s">
        <v>84</v>
      </c>
      <c r="F9" s="4" t="s">
        <v>85</v>
      </c>
      <c r="G9" s="5">
        <v>8</v>
      </c>
      <c r="H9" s="5">
        <v>3</v>
      </c>
      <c r="I9" s="5">
        <f t="shared" si="0"/>
        <v>24</v>
      </c>
      <c r="J9" s="4" t="s">
        <v>86</v>
      </c>
      <c r="K9" s="4" t="s">
        <v>87</v>
      </c>
      <c r="L9" s="4" t="s">
        <v>68</v>
      </c>
      <c r="M9" s="4" t="s">
        <v>88</v>
      </c>
      <c r="N9" s="4" t="s">
        <v>89</v>
      </c>
    </row>
    <row r="10" spans="1:14" ht="64.5" customHeight="1">
      <c r="A10" s="3" t="s">
        <v>90</v>
      </c>
      <c r="B10" s="4" t="s">
        <v>26</v>
      </c>
      <c r="C10" s="4" t="s">
        <v>91</v>
      </c>
      <c r="D10" s="4" t="s">
        <v>92</v>
      </c>
      <c r="E10" s="4" t="s">
        <v>93</v>
      </c>
      <c r="F10" s="4" t="s">
        <v>94</v>
      </c>
      <c r="G10" s="5">
        <v>8</v>
      </c>
      <c r="H10" s="5">
        <v>3</v>
      </c>
      <c r="I10" s="5">
        <f t="shared" si="0"/>
        <v>24</v>
      </c>
      <c r="J10" s="4" t="s">
        <v>95</v>
      </c>
      <c r="K10" s="4" t="s">
        <v>96</v>
      </c>
      <c r="L10" s="4" t="s">
        <v>78</v>
      </c>
      <c r="M10" s="4" t="s">
        <v>97</v>
      </c>
      <c r="N10" s="4" t="s">
        <v>98</v>
      </c>
    </row>
    <row r="11" spans="1:14" ht="64.5" customHeight="1">
      <c r="A11" s="3" t="s">
        <v>99</v>
      </c>
      <c r="B11" s="4" t="s">
        <v>26</v>
      </c>
      <c r="C11" s="4" t="s">
        <v>100</v>
      </c>
      <c r="D11" s="4" t="s">
        <v>101</v>
      </c>
      <c r="E11" s="4" t="s">
        <v>102</v>
      </c>
      <c r="F11" s="4" t="s">
        <v>103</v>
      </c>
      <c r="G11" s="5">
        <v>7</v>
      </c>
      <c r="H11" s="5">
        <v>3</v>
      </c>
      <c r="I11" s="5">
        <f t="shared" si="0"/>
        <v>21</v>
      </c>
      <c r="J11" s="4" t="s">
        <v>104</v>
      </c>
      <c r="K11" s="4" t="s">
        <v>105</v>
      </c>
      <c r="L11" s="4" t="s">
        <v>78</v>
      </c>
      <c r="M11" s="4" t="s">
        <v>106</v>
      </c>
      <c r="N11" s="4" t="s">
        <v>107</v>
      </c>
    </row>
    <row r="12" spans="1:14" ht="64.5" customHeight="1">
      <c r="A12" s="3" t="s">
        <v>108</v>
      </c>
      <c r="B12" s="4" t="s">
        <v>109</v>
      </c>
      <c r="C12" s="4" t="s">
        <v>110</v>
      </c>
      <c r="D12" s="4" t="s">
        <v>111</v>
      </c>
      <c r="E12" s="4" t="s">
        <v>112</v>
      </c>
      <c r="F12" s="4" t="s">
        <v>113</v>
      </c>
      <c r="G12" s="5">
        <v>8</v>
      </c>
      <c r="H12" s="5">
        <v>3</v>
      </c>
      <c r="I12" s="5">
        <f t="shared" si="0"/>
        <v>24</v>
      </c>
      <c r="J12" s="4" t="s">
        <v>114</v>
      </c>
      <c r="K12" s="4" t="s">
        <v>115</v>
      </c>
      <c r="L12" s="4" t="s">
        <v>33</v>
      </c>
      <c r="M12" s="4" t="s">
        <v>116</v>
      </c>
      <c r="N12" s="4" t="s">
        <v>117</v>
      </c>
    </row>
    <row r="13" spans="1:14" ht="64.5" customHeight="1">
      <c r="A13" s="3" t="s">
        <v>118</v>
      </c>
      <c r="B13" s="4" t="s">
        <v>119</v>
      </c>
      <c r="C13" s="4" t="s">
        <v>120</v>
      </c>
      <c r="D13" s="4" t="s">
        <v>121</v>
      </c>
      <c r="E13" s="4" t="s">
        <v>122</v>
      </c>
      <c r="F13" s="4" t="s">
        <v>123</v>
      </c>
      <c r="G13" s="5">
        <v>8</v>
      </c>
      <c r="H13" s="5">
        <v>3</v>
      </c>
      <c r="I13" s="5">
        <f t="shared" si="0"/>
        <v>24</v>
      </c>
      <c r="J13" s="4" t="s">
        <v>124</v>
      </c>
      <c r="K13" s="4" t="s">
        <v>125</v>
      </c>
      <c r="L13" s="4" t="s">
        <v>126</v>
      </c>
      <c r="M13" s="4" t="s">
        <v>127</v>
      </c>
      <c r="N13" s="4" t="s">
        <v>128</v>
      </c>
    </row>
    <row r="14" spans="1:14" ht="64.5" customHeight="1">
      <c r="A14" s="3" t="s">
        <v>129</v>
      </c>
      <c r="B14" s="4" t="s">
        <v>119</v>
      </c>
      <c r="C14" s="4" t="s">
        <v>130</v>
      </c>
      <c r="D14" s="4" t="s">
        <v>131</v>
      </c>
      <c r="E14" s="4" t="s">
        <v>132</v>
      </c>
      <c r="F14" s="4" t="s">
        <v>133</v>
      </c>
      <c r="G14" s="5">
        <v>7</v>
      </c>
      <c r="H14" s="5">
        <v>3</v>
      </c>
      <c r="I14" s="5">
        <f t="shared" si="0"/>
        <v>21</v>
      </c>
      <c r="J14" s="4" t="s">
        <v>134</v>
      </c>
      <c r="K14" s="4" t="s">
        <v>135</v>
      </c>
      <c r="L14" s="4" t="s">
        <v>33</v>
      </c>
      <c r="M14" s="4" t="s">
        <v>136</v>
      </c>
      <c r="N14" s="4" t="s">
        <v>137</v>
      </c>
    </row>
    <row r="15" spans="1:14" ht="64.5" customHeight="1">
      <c r="A15" s="3" t="s">
        <v>138</v>
      </c>
      <c r="B15" s="4" t="s">
        <v>139</v>
      </c>
      <c r="C15" s="4" t="s">
        <v>140</v>
      </c>
      <c r="D15" s="4" t="s">
        <v>141</v>
      </c>
      <c r="E15" s="4" t="s">
        <v>142</v>
      </c>
      <c r="F15" s="4" t="s">
        <v>143</v>
      </c>
      <c r="G15" s="5">
        <v>9</v>
      </c>
      <c r="H15" s="5">
        <v>4</v>
      </c>
      <c r="I15" s="5">
        <f t="shared" si="0"/>
        <v>36</v>
      </c>
      <c r="J15" s="4" t="s">
        <v>144</v>
      </c>
      <c r="K15" s="4" t="s">
        <v>145</v>
      </c>
      <c r="L15" s="4" t="s">
        <v>146</v>
      </c>
      <c r="M15" s="4" t="s">
        <v>147</v>
      </c>
      <c r="N15" s="4" t="s">
        <v>148</v>
      </c>
    </row>
    <row r="16" spans="1:14" ht="64.5" customHeight="1">
      <c r="A16" s="3" t="s">
        <v>149</v>
      </c>
      <c r="B16" s="4" t="s">
        <v>139</v>
      </c>
      <c r="C16" s="4" t="s">
        <v>150</v>
      </c>
      <c r="D16" s="4" t="s">
        <v>151</v>
      </c>
      <c r="E16" s="4" t="s">
        <v>152</v>
      </c>
      <c r="F16" s="4" t="s">
        <v>153</v>
      </c>
      <c r="G16" s="5">
        <v>10</v>
      </c>
      <c r="H16" s="5">
        <v>3</v>
      </c>
      <c r="I16" s="5">
        <f t="shared" si="0"/>
        <v>30</v>
      </c>
      <c r="J16" s="4" t="s">
        <v>154</v>
      </c>
      <c r="K16" s="4" t="s">
        <v>155</v>
      </c>
      <c r="L16" s="4" t="s">
        <v>156</v>
      </c>
      <c r="M16" s="4" t="s">
        <v>157</v>
      </c>
      <c r="N16" s="4" t="s">
        <v>158</v>
      </c>
    </row>
    <row r="17" spans="1:14" ht="64.5" customHeight="1">
      <c r="A17" s="3" t="s">
        <v>159</v>
      </c>
      <c r="B17" s="4" t="s">
        <v>139</v>
      </c>
      <c r="C17" s="4" t="s">
        <v>160</v>
      </c>
      <c r="D17" s="4" t="s">
        <v>161</v>
      </c>
      <c r="E17" s="4" t="s">
        <v>162</v>
      </c>
      <c r="F17" s="4" t="s">
        <v>163</v>
      </c>
      <c r="G17" s="5">
        <v>8</v>
      </c>
      <c r="H17" s="5">
        <v>4</v>
      </c>
      <c r="I17" s="5">
        <f t="shared" si="0"/>
        <v>32</v>
      </c>
      <c r="J17" s="4" t="s">
        <v>164</v>
      </c>
      <c r="K17" s="4" t="s">
        <v>165</v>
      </c>
      <c r="L17" s="4" t="s">
        <v>166</v>
      </c>
      <c r="M17" s="4" t="s">
        <v>167</v>
      </c>
      <c r="N17" s="4" t="s">
        <v>168</v>
      </c>
    </row>
    <row r="18" spans="1:14" ht="64.5" customHeight="1">
      <c r="A18" s="3" t="s">
        <v>169</v>
      </c>
      <c r="B18" s="4" t="s">
        <v>139</v>
      </c>
      <c r="C18" s="4" t="s">
        <v>170</v>
      </c>
      <c r="D18" s="4" t="s">
        <v>171</v>
      </c>
      <c r="E18" s="4" t="s">
        <v>172</v>
      </c>
      <c r="F18" s="4" t="s">
        <v>173</v>
      </c>
      <c r="G18" s="5">
        <v>9</v>
      </c>
      <c r="H18" s="5">
        <v>3</v>
      </c>
      <c r="I18" s="5">
        <f t="shared" si="0"/>
        <v>27</v>
      </c>
      <c r="J18" s="4" t="s">
        <v>174</v>
      </c>
      <c r="K18" s="4" t="s">
        <v>175</v>
      </c>
      <c r="L18" s="4" t="s">
        <v>176</v>
      </c>
      <c r="M18" s="4" t="s">
        <v>177</v>
      </c>
      <c r="N18" s="4" t="s">
        <v>178</v>
      </c>
    </row>
    <row r="19" spans="1:14" ht="64.5" customHeight="1">
      <c r="A19" s="3" t="s">
        <v>179</v>
      </c>
      <c r="B19" s="4" t="s">
        <v>139</v>
      </c>
      <c r="C19" s="4" t="s">
        <v>180</v>
      </c>
      <c r="D19" s="4" t="s">
        <v>181</v>
      </c>
      <c r="E19" s="4" t="s">
        <v>182</v>
      </c>
      <c r="F19" s="4" t="s">
        <v>183</v>
      </c>
      <c r="G19" s="5">
        <v>7</v>
      </c>
      <c r="H19" s="5">
        <v>4</v>
      </c>
      <c r="I19" s="5">
        <f t="shared" si="0"/>
        <v>28</v>
      </c>
      <c r="J19" s="4" t="s">
        <v>184</v>
      </c>
      <c r="K19" s="4" t="s">
        <v>185</v>
      </c>
      <c r="L19" s="4" t="s">
        <v>186</v>
      </c>
      <c r="M19" s="4" t="s">
        <v>187</v>
      </c>
      <c r="N19" s="4" t="s">
        <v>188</v>
      </c>
    </row>
    <row r="20" spans="1:14" ht="64.5" customHeight="1">
      <c r="A20" s="3" t="s">
        <v>189</v>
      </c>
      <c r="B20" s="4" t="s">
        <v>139</v>
      </c>
      <c r="C20" s="4" t="s">
        <v>190</v>
      </c>
      <c r="D20" s="4" t="s">
        <v>191</v>
      </c>
      <c r="E20" s="4" t="s">
        <v>192</v>
      </c>
      <c r="F20" s="4" t="s">
        <v>193</v>
      </c>
      <c r="G20" s="5">
        <v>9</v>
      </c>
      <c r="H20" s="5">
        <v>4</v>
      </c>
      <c r="I20" s="5">
        <f t="shared" si="0"/>
        <v>36</v>
      </c>
      <c r="J20" s="4" t="s">
        <v>194</v>
      </c>
      <c r="K20" s="4" t="s">
        <v>195</v>
      </c>
      <c r="L20" s="4" t="s">
        <v>68</v>
      </c>
      <c r="M20" s="4" t="s">
        <v>196</v>
      </c>
      <c r="N20" s="4" t="s">
        <v>197</v>
      </c>
    </row>
    <row r="21" spans="1:14" ht="64.5" customHeight="1">
      <c r="A21" s="3" t="s">
        <v>198</v>
      </c>
      <c r="B21" s="4" t="s">
        <v>139</v>
      </c>
      <c r="C21" s="4" t="s">
        <v>199</v>
      </c>
      <c r="D21" s="4" t="s">
        <v>200</v>
      </c>
      <c r="E21" s="4" t="s">
        <v>201</v>
      </c>
      <c r="F21" s="4" t="s">
        <v>202</v>
      </c>
      <c r="G21" s="5">
        <v>8</v>
      </c>
      <c r="H21" s="5">
        <v>3</v>
      </c>
      <c r="I21" s="5">
        <f t="shared" si="0"/>
        <v>24</v>
      </c>
      <c r="J21" s="4" t="s">
        <v>203</v>
      </c>
      <c r="K21" s="4" t="s">
        <v>204</v>
      </c>
      <c r="L21" s="4" t="s">
        <v>205</v>
      </c>
      <c r="M21" s="4" t="s">
        <v>206</v>
      </c>
      <c r="N21" s="4" t="s">
        <v>207</v>
      </c>
    </row>
    <row r="22" spans="1:14" ht="64.5" customHeight="1">
      <c r="A22" s="3" t="s">
        <v>208</v>
      </c>
      <c r="B22" s="4" t="s">
        <v>139</v>
      </c>
      <c r="C22" s="4" t="s">
        <v>209</v>
      </c>
      <c r="D22" s="4" t="s">
        <v>210</v>
      </c>
      <c r="E22" s="4" t="s">
        <v>211</v>
      </c>
      <c r="F22" s="4" t="s">
        <v>212</v>
      </c>
      <c r="G22" s="5">
        <v>8</v>
      </c>
      <c r="H22" s="5">
        <v>3</v>
      </c>
      <c r="I22" s="5">
        <f t="shared" si="0"/>
        <v>24</v>
      </c>
      <c r="J22" s="4" t="s">
        <v>213</v>
      </c>
      <c r="K22" s="4" t="s">
        <v>214</v>
      </c>
      <c r="L22" s="4" t="s">
        <v>68</v>
      </c>
      <c r="M22" s="4" t="s">
        <v>215</v>
      </c>
      <c r="N22" s="4" t="s">
        <v>216</v>
      </c>
    </row>
    <row r="23" spans="1:14" ht="64.5" customHeight="1">
      <c r="A23" s="3" t="s">
        <v>217</v>
      </c>
      <c r="B23" s="4" t="s">
        <v>139</v>
      </c>
      <c r="C23" s="4" t="s">
        <v>218</v>
      </c>
      <c r="D23" s="4" t="s">
        <v>219</v>
      </c>
      <c r="E23" s="4" t="s">
        <v>220</v>
      </c>
      <c r="F23" s="4" t="s">
        <v>221</v>
      </c>
      <c r="G23" s="5">
        <v>7</v>
      </c>
      <c r="H23" s="5">
        <v>3</v>
      </c>
      <c r="I23" s="5">
        <f t="shared" si="0"/>
        <v>21</v>
      </c>
      <c r="J23" s="4" t="s">
        <v>222</v>
      </c>
      <c r="K23" s="4" t="s">
        <v>223</v>
      </c>
      <c r="L23" s="4" t="s">
        <v>224</v>
      </c>
      <c r="M23" s="4" t="s">
        <v>225</v>
      </c>
      <c r="N23" s="4" t="s">
        <v>226</v>
      </c>
    </row>
    <row r="24" spans="1:14" ht="64.5" customHeight="1">
      <c r="A24" s="3" t="s">
        <v>227</v>
      </c>
      <c r="B24" s="4" t="s">
        <v>228</v>
      </c>
      <c r="C24" s="4" t="s">
        <v>229</v>
      </c>
      <c r="D24" s="4" t="s">
        <v>230</v>
      </c>
      <c r="E24" s="4" t="s">
        <v>231</v>
      </c>
      <c r="F24" s="4" t="s">
        <v>232</v>
      </c>
      <c r="G24" s="5">
        <v>7</v>
      </c>
      <c r="H24" s="5">
        <v>4</v>
      </c>
      <c r="I24" s="5">
        <f t="shared" si="0"/>
        <v>28</v>
      </c>
      <c r="J24" s="4" t="s">
        <v>233</v>
      </c>
      <c r="K24" s="4" t="s">
        <v>234</v>
      </c>
      <c r="L24" s="4" t="s">
        <v>156</v>
      </c>
      <c r="M24" s="4" t="s">
        <v>235</v>
      </c>
      <c r="N24" s="4" t="s">
        <v>236</v>
      </c>
    </row>
    <row r="25" spans="1:14" ht="64.5" customHeight="1">
      <c r="A25" s="3" t="s">
        <v>237</v>
      </c>
      <c r="B25" s="4" t="s">
        <v>228</v>
      </c>
      <c r="C25" s="4" t="s">
        <v>238</v>
      </c>
      <c r="D25" s="4" t="s">
        <v>239</v>
      </c>
      <c r="E25" s="4" t="s">
        <v>240</v>
      </c>
      <c r="F25" s="4" t="s">
        <v>241</v>
      </c>
      <c r="G25" s="5">
        <v>7</v>
      </c>
      <c r="H25" s="5">
        <v>4</v>
      </c>
      <c r="I25" s="5">
        <f t="shared" si="0"/>
        <v>28</v>
      </c>
      <c r="J25" s="4" t="s">
        <v>242</v>
      </c>
      <c r="K25" s="4" t="s">
        <v>243</v>
      </c>
      <c r="L25" s="4" t="s">
        <v>156</v>
      </c>
      <c r="M25" s="4" t="s">
        <v>23</v>
      </c>
      <c r="N25" s="4" t="s">
        <v>24</v>
      </c>
    </row>
    <row r="26" spans="1:14" ht="64.5" customHeight="1">
      <c r="A26" s="3" t="s">
        <v>244</v>
      </c>
      <c r="B26" s="4" t="s">
        <v>228</v>
      </c>
      <c r="C26" s="4" t="s">
        <v>245</v>
      </c>
      <c r="D26" s="4" t="s">
        <v>246</v>
      </c>
      <c r="E26" s="4" t="s">
        <v>247</v>
      </c>
      <c r="F26" s="4" t="s">
        <v>248</v>
      </c>
      <c r="G26" s="5">
        <v>7</v>
      </c>
      <c r="H26" s="5">
        <v>4</v>
      </c>
      <c r="I26" s="5">
        <f t="shared" si="0"/>
        <v>28</v>
      </c>
      <c r="J26" s="4" t="s">
        <v>249</v>
      </c>
      <c r="K26" s="4" t="s">
        <v>250</v>
      </c>
      <c r="L26" s="4" t="s">
        <v>156</v>
      </c>
      <c r="M26" s="4" t="s">
        <v>23</v>
      </c>
      <c r="N26" s="4" t="s">
        <v>24</v>
      </c>
    </row>
    <row r="27" spans="1:14" ht="64.5" customHeight="1">
      <c r="A27" s="3" t="s">
        <v>251</v>
      </c>
      <c r="B27" s="4" t="s">
        <v>228</v>
      </c>
      <c r="C27" s="4" t="s">
        <v>252</v>
      </c>
      <c r="D27" s="4" t="s">
        <v>253</v>
      </c>
      <c r="E27" s="4" t="s">
        <v>254</v>
      </c>
      <c r="F27" s="4" t="s">
        <v>255</v>
      </c>
      <c r="G27" s="5">
        <v>6</v>
      </c>
      <c r="H27" s="5">
        <v>4</v>
      </c>
      <c r="I27" s="5">
        <f t="shared" si="0"/>
        <v>24</v>
      </c>
      <c r="J27" s="4" t="s">
        <v>256</v>
      </c>
      <c r="K27" s="4" t="s">
        <v>257</v>
      </c>
      <c r="L27" s="4" t="s">
        <v>258</v>
      </c>
      <c r="M27" s="4" t="s">
        <v>23</v>
      </c>
      <c r="N27" s="4" t="s">
        <v>24</v>
      </c>
    </row>
    <row r="28" spans="1:14" ht="64.5" customHeight="1">
      <c r="A28" s="3" t="s">
        <v>259</v>
      </c>
      <c r="B28" s="4" t="s">
        <v>228</v>
      </c>
      <c r="C28" s="4" t="s">
        <v>260</v>
      </c>
      <c r="D28" s="4" t="s">
        <v>261</v>
      </c>
      <c r="E28" s="4" t="s">
        <v>262</v>
      </c>
      <c r="F28" s="4" t="s">
        <v>263</v>
      </c>
      <c r="G28" s="5">
        <v>6</v>
      </c>
      <c r="H28" s="5">
        <v>4</v>
      </c>
      <c r="I28" s="5">
        <f t="shared" si="0"/>
        <v>24</v>
      </c>
      <c r="J28" s="4" t="s">
        <v>264</v>
      </c>
      <c r="K28" s="4" t="s">
        <v>265</v>
      </c>
      <c r="L28" s="4" t="s">
        <v>156</v>
      </c>
      <c r="M28" s="4" t="s">
        <v>23</v>
      </c>
      <c r="N28" s="6" t="s">
        <v>24</v>
      </c>
    </row>
    <row r="29" spans="1:14" ht="64.5" customHeight="1">
      <c r="A29" s="3" t="s">
        <v>266</v>
      </c>
      <c r="B29" s="4" t="s">
        <v>228</v>
      </c>
      <c r="C29" s="4" t="s">
        <v>267</v>
      </c>
      <c r="D29" s="4" t="s">
        <v>268</v>
      </c>
      <c r="E29" s="4" t="s">
        <v>269</v>
      </c>
      <c r="F29" s="4" t="s">
        <v>270</v>
      </c>
      <c r="G29" s="5">
        <v>8</v>
      </c>
      <c r="H29" s="5">
        <v>3</v>
      </c>
      <c r="I29" s="5">
        <f t="shared" si="0"/>
        <v>24</v>
      </c>
      <c r="J29" s="4" t="s">
        <v>271</v>
      </c>
      <c r="K29" s="4" t="s">
        <v>272</v>
      </c>
      <c r="L29" s="4" t="s">
        <v>273</v>
      </c>
      <c r="M29" s="4" t="s">
        <v>274</v>
      </c>
      <c r="N29" s="4" t="s">
        <v>275</v>
      </c>
    </row>
    <row r="30" spans="1:14" ht="89.25" customHeight="1">
      <c r="A30" s="3" t="s">
        <v>276</v>
      </c>
      <c r="B30" s="4" t="s">
        <v>228</v>
      </c>
      <c r="C30" s="4" t="s">
        <v>277</v>
      </c>
      <c r="D30" s="4" t="s">
        <v>278</v>
      </c>
      <c r="E30" s="4" t="s">
        <v>279</v>
      </c>
      <c r="F30" s="4" t="s">
        <v>280</v>
      </c>
      <c r="G30" s="5">
        <v>9</v>
      </c>
      <c r="H30" s="5">
        <v>2</v>
      </c>
      <c r="I30" s="5">
        <f t="shared" si="0"/>
        <v>18</v>
      </c>
      <c r="J30" s="4" t="s">
        <v>281</v>
      </c>
      <c r="K30" s="4" t="s">
        <v>282</v>
      </c>
      <c r="L30" s="4" t="s">
        <v>146</v>
      </c>
      <c r="M30" s="4" t="s">
        <v>283</v>
      </c>
      <c r="N30" s="4" t="s">
        <v>284</v>
      </c>
    </row>
    <row r="31" spans="1:14" ht="64.5" customHeight="1">
      <c r="A31" s="3" t="s">
        <v>285</v>
      </c>
      <c r="B31" s="4" t="s">
        <v>286</v>
      </c>
      <c r="C31" s="4" t="s">
        <v>287</v>
      </c>
      <c r="D31" s="4" t="s">
        <v>288</v>
      </c>
      <c r="E31" s="4" t="s">
        <v>289</v>
      </c>
      <c r="F31" s="4" t="s">
        <v>290</v>
      </c>
      <c r="G31" s="5">
        <v>8</v>
      </c>
      <c r="H31" s="5">
        <v>2</v>
      </c>
      <c r="I31" s="5">
        <f t="shared" si="0"/>
        <v>16</v>
      </c>
      <c r="J31" s="4" t="s">
        <v>291</v>
      </c>
      <c r="K31" s="4" t="s">
        <v>292</v>
      </c>
      <c r="L31" s="4" t="s">
        <v>33</v>
      </c>
      <c r="M31" s="4" t="s">
        <v>293</v>
      </c>
      <c r="N31" s="4" t="s">
        <v>294</v>
      </c>
    </row>
    <row r="32" spans="1:14" ht="64.5" customHeight="1">
      <c r="A32" s="3" t="s">
        <v>295</v>
      </c>
      <c r="B32" s="4" t="s">
        <v>286</v>
      </c>
      <c r="C32" s="4" t="s">
        <v>296</v>
      </c>
      <c r="D32" s="4" t="s">
        <v>297</v>
      </c>
      <c r="E32" s="4" t="s">
        <v>298</v>
      </c>
      <c r="F32" s="4" t="s">
        <v>299</v>
      </c>
      <c r="G32" s="5">
        <v>10</v>
      </c>
      <c r="H32" s="5">
        <v>2</v>
      </c>
      <c r="I32" s="5">
        <f t="shared" si="0"/>
        <v>20</v>
      </c>
      <c r="J32" s="4" t="s">
        <v>300</v>
      </c>
      <c r="K32" s="4" t="s">
        <v>301</v>
      </c>
      <c r="L32" s="4" t="s">
        <v>302</v>
      </c>
      <c r="M32" s="4" t="s">
        <v>303</v>
      </c>
      <c r="N32" s="4" t="s">
        <v>304</v>
      </c>
    </row>
    <row r="33" spans="1:14" ht="64.5" customHeight="1">
      <c r="A33" s="3" t="s">
        <v>305</v>
      </c>
      <c r="B33" s="4" t="s">
        <v>286</v>
      </c>
      <c r="C33" s="4" t="s">
        <v>306</v>
      </c>
      <c r="D33" s="4" t="s">
        <v>307</v>
      </c>
      <c r="E33" s="4" t="s">
        <v>308</v>
      </c>
      <c r="F33" s="4" t="s">
        <v>309</v>
      </c>
      <c r="G33" s="5">
        <v>8</v>
      </c>
      <c r="H33" s="5">
        <v>2</v>
      </c>
      <c r="I33" s="5">
        <f t="shared" si="0"/>
        <v>16</v>
      </c>
      <c r="J33" s="4" t="s">
        <v>310</v>
      </c>
      <c r="K33" s="4" t="s">
        <v>311</v>
      </c>
      <c r="L33" s="4" t="s">
        <v>78</v>
      </c>
      <c r="M33" s="4" t="s">
        <v>312</v>
      </c>
      <c r="N33" s="4" t="s">
        <v>313</v>
      </c>
    </row>
    <row r="34" spans="1:14" ht="64.5" customHeight="1">
      <c r="A34" s="3" t="s">
        <v>314</v>
      </c>
      <c r="B34" s="4" t="s">
        <v>286</v>
      </c>
      <c r="C34" s="4" t="s">
        <v>315</v>
      </c>
      <c r="D34" s="4" t="s">
        <v>316</v>
      </c>
      <c r="E34" s="4" t="s">
        <v>317</v>
      </c>
      <c r="F34" s="4" t="s">
        <v>318</v>
      </c>
      <c r="G34" s="5">
        <v>6</v>
      </c>
      <c r="H34" s="5">
        <v>2</v>
      </c>
      <c r="I34" s="5">
        <f t="shared" si="0"/>
        <v>12</v>
      </c>
      <c r="J34" s="4" t="s">
        <v>319</v>
      </c>
      <c r="K34" s="4" t="s">
        <v>320</v>
      </c>
      <c r="L34" s="4" t="s">
        <v>321</v>
      </c>
      <c r="M34" s="4" t="s">
        <v>312</v>
      </c>
      <c r="N34" s="4" t="s">
        <v>313</v>
      </c>
    </row>
    <row r="35" spans="1:14" ht="64.5" customHeight="1">
      <c r="A35" s="3" t="s">
        <v>322</v>
      </c>
      <c r="B35" s="4" t="s">
        <v>323</v>
      </c>
      <c r="C35" s="4" t="s">
        <v>324</v>
      </c>
      <c r="D35" s="4" t="s">
        <v>325</v>
      </c>
      <c r="E35" s="4" t="s">
        <v>326</v>
      </c>
      <c r="F35" s="4" t="s">
        <v>327</v>
      </c>
      <c r="G35" s="5">
        <v>6</v>
      </c>
      <c r="H35" s="5">
        <v>3</v>
      </c>
      <c r="I35" s="5">
        <f t="shared" si="0"/>
        <v>18</v>
      </c>
      <c r="J35" s="4" t="s">
        <v>328</v>
      </c>
      <c r="K35" s="4" t="s">
        <v>329</v>
      </c>
      <c r="L35" s="4" t="s">
        <v>78</v>
      </c>
      <c r="M35" s="4" t="s">
        <v>330</v>
      </c>
      <c r="N35" s="4" t="s">
        <v>331</v>
      </c>
    </row>
    <row r="36" spans="1:14" ht="64.5" customHeight="1">
      <c r="A36" s="3" t="s">
        <v>332</v>
      </c>
      <c r="B36" s="4" t="s">
        <v>333</v>
      </c>
      <c r="C36" s="4" t="s">
        <v>334</v>
      </c>
      <c r="D36" s="4" t="s">
        <v>335</v>
      </c>
      <c r="E36" s="4" t="s">
        <v>336</v>
      </c>
      <c r="F36" s="4" t="s">
        <v>337</v>
      </c>
      <c r="G36" s="5">
        <v>8</v>
      </c>
      <c r="H36" s="5">
        <v>4</v>
      </c>
      <c r="I36" s="5">
        <f t="shared" si="0"/>
        <v>32</v>
      </c>
      <c r="J36" s="4" t="s">
        <v>338</v>
      </c>
      <c r="K36" s="4" t="s">
        <v>339</v>
      </c>
      <c r="L36" s="4" t="s">
        <v>340</v>
      </c>
      <c r="M36" s="4" t="s">
        <v>341</v>
      </c>
      <c r="N36" s="4" t="s">
        <v>342</v>
      </c>
    </row>
    <row r="37" spans="1:14" ht="64.5" customHeight="1">
      <c r="A37" s="3" t="s">
        <v>343</v>
      </c>
      <c r="B37" s="4" t="s">
        <v>333</v>
      </c>
      <c r="C37" s="4" t="s">
        <v>344</v>
      </c>
      <c r="D37" s="4" t="s">
        <v>345</v>
      </c>
      <c r="E37" s="4" t="s">
        <v>346</v>
      </c>
      <c r="F37" s="4" t="s">
        <v>347</v>
      </c>
      <c r="G37" s="5">
        <v>8</v>
      </c>
      <c r="H37" s="5">
        <v>4</v>
      </c>
      <c r="I37" s="5">
        <f t="shared" si="0"/>
        <v>32</v>
      </c>
      <c r="J37" s="4" t="s">
        <v>348</v>
      </c>
      <c r="K37" s="4" t="s">
        <v>349</v>
      </c>
      <c r="L37" s="4" t="s">
        <v>350</v>
      </c>
      <c r="M37" s="4" t="s">
        <v>351</v>
      </c>
      <c r="N37" s="4" t="s">
        <v>352</v>
      </c>
    </row>
    <row r="38" spans="1:14" ht="64.5" customHeight="1">
      <c r="A38" s="3" t="s">
        <v>353</v>
      </c>
      <c r="B38" s="4" t="s">
        <v>333</v>
      </c>
      <c r="C38" s="4" t="s">
        <v>354</v>
      </c>
      <c r="D38" s="4" t="s">
        <v>355</v>
      </c>
      <c r="E38" s="4" t="s">
        <v>356</v>
      </c>
      <c r="F38" s="4" t="s">
        <v>357</v>
      </c>
      <c r="G38" s="5">
        <v>8</v>
      </c>
      <c r="H38" s="5">
        <v>4</v>
      </c>
      <c r="I38" s="5">
        <f t="shared" si="0"/>
        <v>32</v>
      </c>
      <c r="J38" s="4" t="s">
        <v>358</v>
      </c>
      <c r="K38" s="4" t="s">
        <v>359</v>
      </c>
      <c r="L38" s="4" t="s">
        <v>360</v>
      </c>
      <c r="M38" s="4" t="s">
        <v>361</v>
      </c>
      <c r="N38" s="4" t="s">
        <v>362</v>
      </c>
    </row>
    <row r="39" spans="1:14" ht="64.5" customHeight="1">
      <c r="A39" s="3" t="s">
        <v>363</v>
      </c>
      <c r="B39" s="4" t="s">
        <v>333</v>
      </c>
      <c r="C39" s="4" t="s">
        <v>364</v>
      </c>
      <c r="D39" s="4" t="s">
        <v>365</v>
      </c>
      <c r="E39" s="4" t="s">
        <v>366</v>
      </c>
      <c r="F39" s="4" t="s">
        <v>367</v>
      </c>
      <c r="G39" s="5">
        <v>8</v>
      </c>
      <c r="H39" s="5">
        <v>3</v>
      </c>
      <c r="I39" s="5">
        <f t="shared" si="0"/>
        <v>24</v>
      </c>
      <c r="J39" s="4" t="s">
        <v>368</v>
      </c>
      <c r="K39" s="4" t="s">
        <v>369</v>
      </c>
      <c r="L39" s="4" t="s">
        <v>156</v>
      </c>
      <c r="M39" s="4" t="s">
        <v>370</v>
      </c>
      <c r="N39" s="4" t="s">
        <v>371</v>
      </c>
    </row>
  </sheetData>
  <hyperlinks>
    <hyperlink ref="N28" r:id="rId1" xr:uid="{EC9BDE5E-AB30-4C76-BE8A-EAA4102C56B8}"/>
  </hyperlinks>
  <pageMargins left="0.7" right="0.7" top="0.75" bottom="0.75" header="0.511811023622047" footer="0.511811023622047"/>
  <pageSetup paperSize="9" orientation="portrait" horizontalDpi="300" verticalDpi="300"/>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Έγγραφο" ma:contentTypeID="0x010100B304A6117C4DF84CB3C8B051AC891574" ma:contentTypeVersion="20" ma:contentTypeDescription="Δημιουργία νέου εγγράφου" ma:contentTypeScope="" ma:versionID="4ed839a14509944c5291fcd17fa2b9d9">
  <xsd:schema xmlns:xsd="http://www.w3.org/2001/XMLSchema" xmlns:xs="http://www.w3.org/2001/XMLSchema" xmlns:p="http://schemas.microsoft.com/office/2006/metadata/properties" xmlns:ns2="476fff79-cca5-4bf5-bfa1-08e490f83e28" xmlns:ns3="d72dafea-079e-4f13-8c31-726b68bf6a28" targetNamespace="http://schemas.microsoft.com/office/2006/metadata/properties" ma:root="true" ma:fieldsID="77a66d2d8778af9a3e204b39cbf3bb64" ns2:_="" ns3:_="">
    <xsd:import namespace="476fff79-cca5-4bf5-bfa1-08e490f83e28"/>
    <xsd:import namespace="d72dafea-079e-4f13-8c31-726b68bf6a2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BillingMetadata"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6fff79-cca5-4bf5-bfa1-08e490f83e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Ετικέτες εικόνας" ma:readOnly="false" ma:fieldId="{5cf76f15-5ced-4ddc-b409-7134ff3c332f}" ma:taxonomyMulti="true" ma:sspId="fed25f8e-50e6-4137-9d04-02130354ac1d"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2dafea-079e-4f13-8c31-726b68bf6a28"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4e1b9b5-9fa9-4613-b7f5-e0abfd9c0063}" ma:internalName="TaxCatchAll" ma:showField="CatchAllData" ma:web="d72dafea-079e-4f13-8c31-726b68bf6a2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Τύπος περιεχομένου"/>
        <xsd:element ref="dc:title" minOccurs="0" maxOccurs="1" ma:index="4" ma:displayName="Τίτλο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72dafea-079e-4f13-8c31-726b68bf6a28" xsi:nil="true"/>
    <lcf76f155ced4ddcb4097134ff3c332f xmlns="476fff79-cca5-4bf5-bfa1-08e490f83e2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F543B6D-75BA-4322-9D7D-70C6A7F86259}"/>
</file>

<file path=customXml/itemProps2.xml><?xml version="1.0" encoding="utf-8"?>
<ds:datastoreItem xmlns:ds="http://schemas.openxmlformats.org/officeDocument/2006/customXml" ds:itemID="{E205ED25-9E33-4E7D-9DDC-B107772D507D}"/>
</file>

<file path=customXml/itemProps3.xml><?xml version="1.0" encoding="utf-8"?>
<ds:datastoreItem xmlns:ds="http://schemas.openxmlformats.org/officeDocument/2006/customXml" ds:itemID="{FE823DC6-EF22-4787-9249-09CA9739970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Ahmed Gheith</cp:lastModifiedBy>
  <cp:revision>0</cp:revision>
  <dcterms:created xsi:type="dcterms:W3CDTF">2026-07-23T19:34:30Z</dcterms:created>
  <dcterms:modified xsi:type="dcterms:W3CDTF">2026-09-15T13:45:00Z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0x010100B304A6117C4DF84CB3C8B051AC891574</vt:lpwstr>
  </property>
  <property fmtid="{D5CDD505-2E9C-101B-9397-08002B2CF9AE}" pid="3" name="MediaServiceImageTags">
    <vt:lpwstr/>
  </property>
</Properties>
</file>