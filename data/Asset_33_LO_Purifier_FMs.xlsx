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C:\Users\dioni\Desktop\phd\D_Navio\WP5\verified_new_template\"/>
    </mc:Choice>
  </mc:AlternateContent>
  <xr:revisionPtr revIDLastSave="0" documentId="13_ncr:1_{8EE29D7B-0008-4AD4-A04B-A4AE347E0CA9}" xr6:coauthVersionLast="47" xr6:coauthVersionMax="47" xr10:uidLastSave="{00000000-0000-0000-0000-000000000000}"/>
  <bookViews>
    <workbookView xWindow="-120" yWindow="-120" windowWidth="29040" windowHeight="15720" xr2:uid="{00000000-000D-0000-FFFF-FFFF00000000}"/>
  </bookViews>
  <sheets>
    <sheet name="LO Purifier FM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 l="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sharedStrings.xml><?xml version="1.0" encoding="utf-8"?>
<sst xmlns="http://schemas.openxmlformats.org/spreadsheetml/2006/main" count="344" uniqueCount="252">
  <si>
    <t>FM ID</t>
  </si>
  <si>
    <t>FM Class</t>
  </si>
  <si>
    <t>Failure Mode (FM)</t>
  </si>
  <si>
    <t>Potential Causes &amp; Mechanism(s) of the FM</t>
  </si>
  <si>
    <t>Potential Technical Effects of the FM</t>
  </si>
  <si>
    <t>Potential Consequences of the FM</t>
  </si>
  <si>
    <t>Severity (1-10)</t>
  </si>
  <si>
    <t>Probability (1-10)</t>
  </si>
  <si>
    <t>RPN (S x P)</t>
  </si>
  <si>
    <t>Detective Controls</t>
  </si>
  <si>
    <t>Preventive Controls</t>
  </si>
  <si>
    <t>Responsibility</t>
  </si>
  <si>
    <t>Source</t>
  </si>
  <si>
    <t>Link</t>
  </si>
  <si>
    <t>LOPURIF-S01</t>
  </si>
  <si>
    <t>Data/Input Failure</t>
  </si>
  <si>
    <t>Bowl Speed Sensor / Tachometer Signal Failure</t>
  </si>
  <si>
    <t>Bowl-speed sensing can fail because of damaged sensor/cable, bad EPC input connection, sensor fouling/misalignment, or a genuine low-speed condition from slipping belt, worn coupling pads, motor failure, damaged bearings, incorrect transmission parts, or wrong rotation.</t>
  </si>
  <si>
    <t>Low speed or excessive run-up time may be missed or reported falsely. The purifier can continue operating outside its separation envelope, or be forced into non-automatic operation when the sensor channel is bypassed.</t>
  </si>
  <si>
    <t>Poor separation allows water and solids to remain in the LO, increasing bearing and journal wear risk. A missed vibration condition can escalate to bearing, spindle, or bowl damage and unplanned loss of the purifier.</t>
  </si>
  <si>
    <t>Compare indicated speed/vibration with local tachometer or vibration readings; check alarm history for bowl speed/vibration sensor error; inspect cable, proximity gap, and EPC vibration input.</t>
  </si>
  <si>
    <t>Clean and secure sensors/cabling, periodically test alarm channels, trend vibration, and verify automatic trips after maintenance.</t>
  </si>
  <si>
    <t>Chief Engineer / Electrical Officer</t>
  </si>
  <si>
    <t>Alfa Laval S-type Separation System Alarms and Fault Finding, Book 1810573-02 (manual; hosted by University of Rijeka/PFRI); Alfa Laval MAB 103B-24 Separator Manual, Book 881145-09-02 Rev. 4, Trouble-tracing / Service Instructions; Ayvaz &amp; Karakurt (2025), Journal of ETA Maritime Science, Examination of Failures in Marine Fuel and Lube Oil Separators</t>
  </si>
  <si>
    <t>https://www.pfri.uniri.hr/web/dokumenti/uploads_nastava/20200604_111213_radonja_Separatori.pdf
https://assets.alfalaval.com/documents/p7524892b/alfa-laval-mab-103-881145-09-02-rev4.pdf
https://jemsjournal.org/pdf/17d041fe-057c-4c8e-a75d-948e33c0152a/articles/jems.2025.33341/36-45.pdf</t>
  </si>
  <si>
    <t>LOPURIF-S02</t>
  </si>
  <si>
    <t>Feed Temperature Sensor / Feed-Temperature Alarm Failure</t>
  </si>
  <si>
    <t>Temperature alarm/control elements, heater control, wiring, or thermal contact can fail or become unreliable; fouled heater surfaces, inadequate heating medium, or incorrect limits can also leave the LO feed outside the intended temperature range.</t>
  </si>
  <si>
    <t>LO may enter the separator with viscosity outside the intended range. Too-low temperature or heating faults reduce separation efficiency and can trigger high/low feed-temperature or slow temperature-increase alarms.</t>
  </si>
  <si>
    <t>Water and fine contaminants can pass to the engine LO circuit, raising bearing wear and corrosion risk. Sustained overheating can degrade the lubricant and reduce confidence in condition-monitoring samples.</t>
  </si>
  <si>
    <t>Compare panel temperature with an independent thermometer; check high/low feed-temperature, temperature sensor, heater, and slow temperature-increase alarms.</t>
  </si>
  <si>
    <t>Calibrate/replace temperature elements as required, clean heater surfaces, maintain steam/electric heater supply, and verify temperature alarm tests after service.</t>
  </si>
  <si>
    <t>Alfa Laval S-type Separation System Alarms and Fault Finding, Book 1810573-02 (manual; hosted by University of Rijeka/PFRI); Alfa Laval MAB 103B-24 Separator Manual, Book 881145-09-02 Rev. 4, Trouble-tracing / Service Instructions; CIMAC Recommendation 24, Treatment of the System Oil in Medium Speed and Crosshead Diesel Engine Installations</t>
  </si>
  <si>
    <t>https://www.pfri.uniri.hr/web/dokumenti/uploads_nastava/20200604_111213_radonja_Separatori.pdf
https://assets.alfalaval.com/documents/p7524892b/alfa-laval-mab-103-881145-09-02-rev4.pdf
https://www.cimac.com/cms/upload/Publication_Press/Recommendations/Recommendation_24.pdf</t>
  </si>
  <si>
    <t>LOPURIF-S03</t>
  </si>
  <si>
    <t>Oil Backpressure / Water-Outlet Pressure Sensor or Feedback Failure</t>
  </si>
  <si>
    <t>PT4 oil-pressure or PT5 water-outlet pressure feedback can fail because of sensor, cable, EPC input, valve-position, or pressure-feedback problems during the separation/discharge sequence.</t>
  </si>
  <si>
    <t>False high/low oil or water pressure indications can mask loss of seal, incorrect paring-tube position, unsuitable backpressure, or failure to obtain expected PT4/PT5 feedback.</t>
  </si>
  <si>
    <t>Undetected pressure deviation can cause LO loss to sludge, poor water separation, or recurring purifier trips. In unattended operation this can reduce available clean LO capacity and increase watchkeeper workload.</t>
  </si>
  <si>
    <t>Cross-check PT4/PT5 indications with local gauges and alarm history; verify pressure-feedback alarms during alarm tests and after pressure-sensor or valve work.</t>
  </si>
  <si>
    <t>Inspect and test sensor wiring, pressure feedback channels, paring-tube/backpressure adjustment, and pressure alarm limits during routine maintenance.</t>
  </si>
  <si>
    <t>Alfa Laval S-type Separation System Alarms and Fault Finding, Book 1810573-02 (manual; hosted by University of Rijeka/PFRI); Alfa Laval MAB 103B-24 Separator Manual, Book 881145-09-02 Rev. 4, Trouble-tracing / Service Instructions</t>
  </si>
  <si>
    <t>https://www.pfri.uniri.hr/web/dokumenti/uploads_nastava/20200604_111213_radonja_Separatori.pdf
https://assets.alfalaval.com/documents/p7524892b/alfa-laval-mab-103-881145-09-02-rev4.pdf</t>
  </si>
  <si>
    <t>LOPURIF-S04</t>
  </si>
  <si>
    <t>Sludge Tank Level / Discharge Feedback Signal Failure</t>
  </si>
  <si>
    <t>Float switches, level sensors, or discharge-feedback sensors may stick due to sludge, failed wiring, defective boards, or poor float movement. The controller may then receive no level or no speed-drop/discharge confirmation after a discharge event.</t>
  </si>
  <si>
    <t>The purifier may not confirm that the sludge tank was drained or that bowl discharge occurred correctly. Automatic discharge logic can become unreliable, causing repeated alarms or missed discharge cycles.</t>
  </si>
  <si>
    <t>Solids can accumulate in the bowl, reducing separation and increasing vibration. A false sludge-tank level signal can also cause unnecessary shutdown or delayed response to overflow risk.</t>
  </si>
  <si>
    <t>Inspect level-switch alarms, no sludge level signal, no discharge feedback, and speed-drop feedback; manually check float movement and sludge tank level.</t>
  </si>
  <si>
    <t>Clean/functional-test level switches, verify discharge feedback after maintenance, maintain sludge drain pumps, and keep operating-water strainers clear.</t>
  </si>
  <si>
    <t>Alfa Laval S-type Separation System Alarms and Fault Finding, Book 1810573-02 (manual; hosted by University of Rijeka/PFRI); Ayvaz &amp; Karakurt (2025), Journal of ETA Maritime Science, Examination of Failures in Marine Fuel and Lube Oil Separators</t>
  </si>
  <si>
    <t>https://www.pfri.uniri.hr/web/dokumenti/uploads_nastava/20200604_111213_radonja_Separatori.pdf
https://jemsjournal.org/pdf/17d041fe-057c-4c8e-a75d-948e33c0152a/articles/jems.2025.33341/36-45.pdf</t>
  </si>
  <si>
    <t>LOPURIF-N01</t>
  </si>
  <si>
    <t>Communication Failure</t>
  </si>
  <si>
    <t>EPC / Control-Board Communication Fault</t>
  </si>
  <si>
    <t>The purifier control system can lose internal communication because of faulty EPC boards, poor board/cable connections, bad operator-panel/transducer/I/O board connections, or communication-board failure.</t>
  </si>
  <si>
    <t>Local/remote alarm, monitoring, and command functions can become unavailable or delayed. The watchkeeper may not receive reliable low-speed, oil-pressure, high-water, heater, or board-fault indications.</t>
  </si>
  <si>
    <t>Faults can progress toward contaminated LO supply, unplanned purifier shutdown, or oil loss without timely operational response. The row is limited to equipment/control-board communication and does not assume fieldbus cyber data corruption.</t>
  </si>
  <si>
    <t>Check EPC/alarm history for computer communication board error, transducer/operator-panel/I/O-board error, cable errors, and optional board communication errors; inspect board connectors and cables.</t>
  </si>
  <si>
    <t>Secure and inspect EPC board connectors/cables, follow maker board-replacement procedure, document parameter backups after board work, and test alarms/remote indication after maintenance.</t>
  </si>
  <si>
    <t>Alfa Laval S-type Separation System Alarms and Fault Finding, Book 1810573-02 (manual; hosted by University of Rijeka/PFRI)</t>
  </si>
  <si>
    <t>https://www.pfri.uniri.hr/web/dokumenti/uploads_nastava/20200604_111213_radonja_Separatori.pdf</t>
  </si>
  <si>
    <t>LOPURIF-L01</t>
  </si>
  <si>
    <t>Software Anomaly</t>
  </si>
  <si>
    <t>Desludging / Discharge Sequence Failure</t>
  </si>
  <si>
    <t>Timer errors, incorrect EPC parameters, failed feedback from opening/closing water, or solenoid/valve feedback mismatch can disturb the feed-stop, water, discharge, and restart sequence. Parameter corruption can also reset operating logic to unsuitable values.</t>
  </si>
  <si>
    <t>The bowl may fail to discharge sludge, open unintentionally, or fail to re-establish the oil-water interface. Solids remain in the bowl or LO is discharged to the sludge route.</t>
  </si>
  <si>
    <t>Separation deteriorates and the purifier may trip repeatedly. Unplanned LO loss can lower system inventory and create sludge-tank overflow or cleanup demands.</t>
  </si>
  <si>
    <t>Trend discharge feedback, bowl-speed drop, oil pressure response, and water-drain feedback during each cycle; check illegal parameter and discharge feedback alarms.</t>
  </si>
  <si>
    <t>Validate EPC timer/parameter settings after service, test discharge cycles under supervision, control software changes, and maintain solenoids/operating-water strainers.</t>
  </si>
  <si>
    <t>LOPURIF-L02</t>
  </si>
  <si>
    <t>EPC Parameter Corruption / Defaulting / Uncontrolled Change</t>
  </si>
  <si>
    <t>Approved EPC parameters may be changed by incorrect local operation, parameter-lock/code management failure, board replacement, reset to defaults, wrong IP/settings, or electromagnetic disturbance that drives parameters out of range.</t>
  </si>
  <si>
    <t>The purifier can run with unsuitable heating, alarm delay, water-discharge timing, pressure, or discharge thresholds. The fault may be silent until oil quality, water-drain behavior, or alarm behavior becomes abnormal.</t>
  </si>
  <si>
    <t>Off-spec LO may reach engine bearings or the unit may stop due to repeated alarms. Incorrect parameter history also makes post-event diagnosis harder.</t>
  </si>
  <si>
    <t>Review EPC parameter list, alarm history, parameter-change lock/code state, board replacement logs, and expected timer/setpoint values against commissioning/service records.</t>
  </si>
  <si>
    <t>Keep controlled parameter backups, restrict parameter changes, restore verified settings after board replacement/defaulting, and perform functional tests after any configuration work.</t>
  </si>
  <si>
    <t>LOPURIF-A01</t>
  </si>
  <si>
    <t>Actuation/Interface Failure</t>
  </si>
  <si>
    <t>Operating / Opening Water Solenoid or Supply Failure</t>
  </si>
  <si>
    <t>Opening-water solenoids, strainers, hoses, nozzles, valve plugs, or supply pressure can fail or clog. The bowl may not open during discharge, may open unintentionally, or may not provide the expected speed/pressure feedback.</t>
  </si>
  <si>
    <t>Sludge discharge becomes unreliable or the bowl opens while processing oil. The purifier either retains sludge or dumps process oil into the sludge route.</t>
  </si>
  <si>
    <t>Solids carry over to the engine LO circuit or LO inventory is lost to sludge. Repeated failures can force the purifier out of automatic operation.</t>
  </si>
  <si>
    <t>Check operating-water pressure and flow, solenoid outputs, discharge feedback, speed-drop profile, clogged strainer/nozzle alarms, and physical leakage at the bowl operating system.</t>
  </si>
  <si>
    <t>Clean operating-water strainers/nozzles, maintain solenoid valves and plugs, verify hoses are correctly fitted, and test discharge after reassembly.</t>
  </si>
  <si>
    <t>LOPURIF-A02</t>
  </si>
  <si>
    <t>Closing / Sealing / Displacement Water Failure</t>
  </si>
  <si>
    <t>Closing or sealing-water supply can be insufficient because of clogged strainer, kinked hose, low pressure, defective seal rings, or failed solenoid/valve. The water seal and interface then cannot be established or maintained.</t>
  </si>
  <si>
    <t>Oil can leak from the bowl or through the bowl casing drain, and the purifier may repeatedly report low oil backpressure or broken water seal. Water separation performance becomes unstable.</t>
  </si>
  <si>
    <t>Clean LO supply is interrupted or oil is lost to sludge/drain. Persistent seal failure can cause contaminated LO delivery and high make-up oil consumption.</t>
  </si>
  <si>
    <t>Watch for oil leaking from bowl, broken-water-seal alarms, PT4 pressure changes, visible flow in bowl casing drain, and high water-content/LO draining alarms.</t>
  </si>
  <si>
    <t>Maintain sealing-water pressure, clean strainers, renew gravity-disc/bowl-hood seal rings, and verify the water seal before returning to automatic service.</t>
  </si>
  <si>
    <t>LOPURIF-A03</t>
  </si>
  <si>
    <t>Feed / Recirculation / Backpressure Valve Actuator Malfunction</t>
  </si>
  <si>
    <t>Regulating, change-over, or backpressure valves can stick, lose air/electrical actuation, or be incorrectly positioned. The feed valve may over-restrict, over-open, or leave the system in recirculation when purification is required.</t>
  </si>
  <si>
    <t>Throughput and backpressure deviate from the operating envelope. Residence time is reduced or the purifier may fail to develop the expected pressure response.</t>
  </si>
  <si>
    <t>Poor separation can allow water and particulates to reach engine LO consumers. Alternatively, unnecessary trips and reduced clean-oil throughput can limit redundancy.</t>
  </si>
  <si>
    <t>Compare valve command with position/pressure response; inspect PT4 high/low alarms, decreased/increased throughput notes, recirculation position, and flow-meter trends.</t>
  </si>
  <si>
    <t>Service actuators and positioners, verify instrument air/power, set throughput/backpressure after maintenance, and perform functional tests of change-over valves.</t>
  </si>
  <si>
    <t>LOPURIF-P01</t>
  </si>
  <si>
    <t>Process/Mechanical Failure</t>
  </si>
  <si>
    <t>Disc Stack / Sludge-Space Fouling</t>
  </si>
  <si>
    <t>High contaminant loading, too-long discharge interval, poor cleaning, or incorrect chemical cleaning can clog discs and fill the sludge space. Deposits reduce disc-channel area and make the bowl more prone to imbalance.</t>
  </si>
  <si>
    <t>Effective separation area falls and sludge is not removed efficiently. The unit may show high differential/backpressure, poor separation, and increasing vibration.</t>
  </si>
  <si>
    <t>Water, wear metals, soot, and sludge can remain in the LO and accelerate engine bearing and journal wear. Unplanned bowl cleaning and downtime become likely.</t>
  </si>
  <si>
    <t>Trend separation result, sludge discharge amount, vibration, backpressure, and oil analysis for water/insolubles/particle counts; inspect discs during scheduled service.</t>
  </si>
  <si>
    <t>Optimize discharge interval, clean the disc stack chemically and gently, reduce upstream contamination sources, and avoid scratching disc surfaces during cleaning.</t>
  </si>
  <si>
    <t>Chief Engineer / 2nd Engineer</t>
  </si>
  <si>
    <t>LOPURIF-P02</t>
  </si>
  <si>
    <t>Incorrect Separation Temperature / High Viscosity Feed</t>
  </si>
  <si>
    <t>Faulty heating, clogged heater, steam/electric heater failure, or wrong setpoint can leave feed oil too cold or too hot. Too-cold oil has higher viscosity and poorer water/solid separation.</t>
  </si>
  <si>
    <t>Insufficient temperature control directly reduces separation quality and can disturb water seal stability. Excessive temperature may also degrade oil or trigger high-temperature protection.</t>
  </si>
  <si>
    <t>Contaminated or thermally stressed LO reaches engine components, increasing wear, corrosion, and varnish risk. Repeated trips reduce purifier availability.</t>
  </si>
  <si>
    <t>Check feed temperature trend, heater alarms, steam supply/electric element status, and oil viscosity/water analysis.</t>
  </si>
  <si>
    <t>Maintain heaters and steam traps, clean fouled heaters, calibrate sensors, and verify approved operating temperature after startup and maintenance.</t>
  </si>
  <si>
    <t>LOPURIF-P03</t>
  </si>
  <si>
    <t>Excessive Throughput / Insufficient Residence Time</t>
  </si>
  <si>
    <t>Incorrect flow setting, failed feed valve, operator error, or unexpected feed-pump performance can raise throughput above the separator's effective capacity. High throughput reduces residence time in the bowl.</t>
  </si>
  <si>
    <t>Water and particles are not fully separated even when mechanical parts are healthy. The water seal may break and liquid may flow through the bowl casing drain.</t>
  </si>
  <si>
    <t>Off-spec LO can circulate to bearings and control components. Operators may misdiagnose the issue as a separator hardware fault instead of a process-setting fault.</t>
  </si>
  <si>
    <t>Compare actual flow with maker/commissioning setting; review PT4/backpressure, separation result, and broken-water-seal events.</t>
  </si>
  <si>
    <t>Set feed rate according to oil condition and manufacturer guidance, lock/mark regulating valve settings, and verify flow after maintenance.</t>
  </si>
  <si>
    <t>LOPURIF-P04</t>
  </si>
  <si>
    <t>Gravity Disc Mis-selection / Gravity-Disc Seal Failure</t>
  </si>
  <si>
    <t>Wrong gravity-disc diameter or defective gravity-disc seal changes the oil-water interface and outlet split. The fault is likely after maintenance, oil-grade/density change, or incorrect spare selection.</t>
  </si>
  <si>
    <t>The purifier may discharge oil with the water, leak oil through the water outlet, or fail to separate water adequately.</t>
  </si>
  <si>
    <t>Oil is wasted to sludge/water outlet and the clean-oil stream may retain water, increasing bearing corrosion/wear risk.</t>
  </si>
  <si>
    <t>Check gravity-disc size against oil density/temperature, inspect gravity-disc seal rings, observe outlet contamination, and confirm water/oil interface behavior after service.</t>
  </si>
  <si>
    <t>Use correct gravity discs and seals for the oil in service, keep parts matched to the bowl, and verify outlet quality after maintenance.</t>
  </si>
  <si>
    <t>Alfa Laval MAB 103B-24 Separator Manual, Book 881145-09-02 Rev. 4, Trouble-tracing / Service Instructions; Alfa Laval S-type Separation System Alarms and Fault Finding, Book 1810573-02 (manual; hosted by University of Rijeka/PFRI)</t>
  </si>
  <si>
    <t>https://assets.alfalaval.com/documents/p7524892b/alfa-laval-mab-103-881145-09-02-rev4.pdf
https://www.pfri.uniri.hr/web/dokumenti/uploads_nastava/20200604_111213_radonja_Separatori.pdf</t>
  </si>
  <si>
    <t>LOPURIF-P05</t>
  </si>
  <si>
    <t>Paring Disc Height / Movement Misadjustment</t>
  </si>
  <si>
    <t>Incorrect paring-disc height or paring-tube movement restriction changes outlet conditions and can occur after service, incorrect adjustment, friction, deposits, or assembly error.</t>
  </si>
  <si>
    <t>Abnormal noise, pressure high/low alarms, disturbed outlet pressure, and poor water/oil separation can occur when the paring disc/tube does not sit or move correctly.</t>
  </si>
  <si>
    <t>Poor separation, repeated alarms, and mechanical loading can follow. If unresolved, the fault may be misdiagnosed as a pressure-transducer or feed-flow problem.</t>
  </si>
  <si>
    <t>Measure/adjust paring-disc height, check paring-tube movement for friction, and compare pressure response during drain/discharge timers.</t>
  </si>
  <si>
    <t>Follow maker height-adjustment procedure, clean/check paring-tube movement during service, and verify pressure response after reassembly.</t>
  </si>
  <si>
    <t>LOPURIF-P06</t>
  </si>
  <si>
    <t>Broken Water Seal / Unintended LO Discharge</t>
  </si>
  <si>
    <t>Broken water seal can result from too-large gravity disc, low separation temperature, excessive throughput, insufficient sealing water, clogged disc stack, low bowl speed, or incorrect assembly. Defective bowl or gravity-disc seals worsen the leak path.</t>
  </si>
  <si>
    <t>Liquid flows through the bowl casing drain or LO leaves by the wrong outlet. The purifier cannot maintain a stable interface for water removal.</t>
  </si>
  <si>
    <t>LO inventory can be lost rapidly to sludge/drain while contaminated oil remains in circulation. The event can also lead to sludge-tank overflow and loss of purifier service.</t>
  </si>
  <si>
    <t>Watch for bowl leak/broken water seal alarms, sudden pressure changes, visible drain flow, high sludge-tank level, and oil balance discrepancies.</t>
  </si>
  <si>
    <t>Confirm sealing-water volume and pressure, correct gravity disc, clean disc stack, renew seal rings, and verify bowl assembly before restart.</t>
  </si>
  <si>
    <t>LOPURIF-P07</t>
  </si>
  <si>
    <t>Excessive Water in Dirty LO Feed / Frequent LO Draining</t>
  </si>
  <si>
    <t>Water ingress to the LO system, poor tank draining, leaking coolers, or abnormal engine blow-by/condensation can feed more water than the purifier can drain efficiently. High emulsion levels also reduce practical separation efficiency.</t>
  </si>
  <si>
    <t>The water drain operates frequently or insufficiently, and the system may show high water content or transducer alarms. Separation becomes dominated by feed quality rather than separator hardware.</t>
  </si>
  <si>
    <t>Water-contaminated LO promotes corrosion and bearing distress, and repeated draining reduces purifier availability. Root cause may remain outside the purifier if only the separator is cleaned.</t>
  </si>
  <si>
    <t>Review dirty-oil quality, water-content trend, LO analysis, drain-frequency logs, and source checks on coolers/tanks.</t>
  </si>
  <si>
    <t>Drain settling/service tanks, investigate water ingress, keep water drains functional, and use oil analysis to distinguish purifier failure from high upstream water load.</t>
  </si>
  <si>
    <t>Alfa Laval S-type Separation System Alarms and Fault Finding, Book 1810573-02 (manual; hosted by University of Rijeka/PFRI); CIMAC Recommendation 24, Treatment of the System Oil in Medium Speed and Crosshead Diesel Engine Installations</t>
  </si>
  <si>
    <t>https://www.pfri.uniri.hr/web/dokumenti/uploads_nastava/20200604_111213_radonja_Separatori.pdf
https://www.cimac.com/cms/upload/Publication_Press/Recommendations/Recommendation_24.pdf</t>
  </si>
  <si>
    <t>LOPURIF-M01</t>
  </si>
  <si>
    <t>Bowl Imbalance / Excessive Vibration</t>
  </si>
  <si>
    <t>Poor cleaning, incorrect bowl assembly, too few discs, insufficiently tightened hood, mixed parts, or uneven sludge deposits can unbalance the high-speed bowl. Worn frame feet and bearing defects amplify the vibration.</t>
  </si>
  <si>
    <t>The separator runs rough during startup or normal operation and may exceed vibration limits. Separation performance degrades and mechanical loading on bearings/spindle increases.</t>
  </si>
  <si>
    <t>Severe vibration can lead to bearing failure, spindle damage, forced shutdown, and possible disintegration hazard. The ship may lose one LO cleaning unit until overhaul.</t>
  </si>
  <si>
    <t>Use vibration monitoring, abnormal-noise checks, and start/stop observation; inspect bowl assembly, sludge deposits, frame feet, bearings, and spindle runout.</t>
  </si>
  <si>
    <t>Clean and assemble the bowl correctly, keep bowl parts matched, replace worn dampers/bearings, and stop immediately if severe vibration persists.</t>
  </si>
  <si>
    <t>LOPURIF-M02</t>
  </si>
  <si>
    <t>Bowl Spindle Bending / Radial Wobble</t>
  </si>
  <si>
    <t>Spindle bending can follow bearing deterioration, excessive vibration, incorrect assembly, or operation with unbalanced sludge deposits. The high bowl speed magnifies small wobble into high bearing loads.</t>
  </si>
  <si>
    <t>Radial wobble produces rough bowl running and may prevent stable separation. The fault accelerates upper/lower bearing wear and can cause repeated vibration trips.</t>
  </si>
  <si>
    <t>Progressive spindle/bearing damage can remove the purifier from service and create a high-energy mechanical safety hazard. Clean LO availability is reduced.</t>
  </si>
  <si>
    <t>Check radial wobble after spindle/bowl dismantling or if rough running occurs; use vibration trend and bearing-temperature/noise indicators.</t>
  </si>
  <si>
    <t>Do not run with unresolved vibration, replace bent spindle, keep bearings/dampers in correct condition, and follow maker tolerances at reassembly.</t>
  </si>
  <si>
    <t>LOPURIF-M03</t>
  </si>
  <si>
    <t>Bowl Spindle / Drive Bearing Wear or Overheating</t>
  </si>
  <si>
    <t>Bowl spindle and drive bearings can wear from age, low oil in the separator gear housing, wrong bearing specification, excessive vibration, poor cleanliness during service, or high loads from bent spindle/imbalance. Overheating indicates loss of lubrication or mechanical damage.</t>
  </si>
  <si>
    <t>The bowl may start slowly, run noisily, vibrate, or fail to reach correct speed. Bearing damage also increases frictional losses and can trigger smell/noise/speed alarms.</t>
  </si>
  <si>
    <t>Bearing failure can cause spindle damage, forced shutdown, and potential safety hazard. Loss of the purifier increases the probability that dirty LO reaches the engine.</t>
  </si>
  <si>
    <t>Monitor vibration, noise, smell, motor current, run-up time, speed-low alarms, and separator oil-sump level; inspect bearings on scheduled overhaul.</t>
  </si>
  <si>
    <t>Maintain correct oil level and oil-change intervals, keep strict bearing cleanliness, install only specified bearings, and replace bearings when damaged/worn.</t>
  </si>
  <si>
    <t>LOPURIF-M04</t>
  </si>
  <si>
    <t>Frame Feet / Spindle Top-Bearing Spring Deterioration</t>
  </si>
  <si>
    <t>Frame feet, rubber washers, or spindle top-bearing springs age, wear, or break. Loss of damping/support allows normal discharge impacts and critical-speed passages to transmit higher forces to the shaft and bearings.</t>
  </si>
  <si>
    <t>The unit becomes more sensitive to startup and running vibration. Bearing wear and spindle loading increase even if the bowl itself is clean.</t>
  </si>
  <si>
    <t>Progressive mechanical deterioration can culminate in repeated vibration trips, bearing failure, and extended outage for major service.</t>
  </si>
  <si>
    <t>Inspect frame feet, rubber washers, upper-bearing springs/dampers, and vibration trend; compare with maintenance age limits.</t>
  </si>
  <si>
    <t>Replace vibration dampers/frame feet on schedule, renew bearing springs as a set, and verify vibration after service.</t>
  </si>
  <si>
    <t>LOPURIF-M05</t>
  </si>
  <si>
    <t>Bowl Casing Drain Obstruction / Water in Separator Oil Sump</t>
  </si>
  <si>
    <t>Blocked bowl casing drain, upper bearing seal leakage, or condensation can introduce water into the separator oil sump. Drain obstruction also prevents safe removal of leaked liquid from the bowl casing.</t>
  </si>
  <si>
    <t>Gear/bearing lubrication is degraded and water may remain trapped around rotating components. This can increase noise, corrosion, and bearing damage.</t>
  </si>
  <si>
    <t>Separator mechanical failure becomes more likely, and the purifier may trip or require shutdown for cleaning/oil change. If leakage is associated with seal loss, LO inventory can also be wasted.</t>
  </si>
  <si>
    <t>Check sight glass/sump oil condition, water in oil sump alarms, drain flow, and signs of upper-bearing leakage or condensation.</t>
  </si>
  <si>
    <t>Keep drains clear, change contaminated sump oil, renew top bearing seal rings, and reduce condensation by proper operating and ventilation practices.</t>
  </si>
  <si>
    <t>Alfa Laval MAB 103B-24 Separator Manual, Book 881145-09-02 Rev. 4, Trouble-tracing / Service Instructions</t>
  </si>
  <si>
    <t>https://assets.alfalaval.com/documents/p7524892b/alfa-laval-mab-103-881145-09-02-rev4.pdf</t>
  </si>
  <si>
    <t>LOPURIF-H01</t>
  </si>
  <si>
    <t>Hardware Failure</t>
  </si>
  <si>
    <t>Drive Motor / Power Supply Failure</t>
  </si>
  <si>
    <t>No supply, motor winding/bearing fault, contactor feedback loss, incorrect power availability, or emergency stop can prevent startup or cause run-up failure. Electrical issues can be confused with mechanical drag unless current, speed, and brake status are checked together.</t>
  </si>
  <si>
    <t>The bowl does not start, starts too slowly, or loses speed. Automatic purification is unavailable and alarms may show motor failure or run-up too long.</t>
  </si>
  <si>
    <t>If no redundant purifier is available, LO cleaning capacity is lost and contamination control depends on storage, filtration, or reduced engine operation. Repeated failed starts may also damage coupling/friction elements.</t>
  </si>
  <si>
    <t>Check power supply, contactor feedback, motor current, emergency stop state, and run-up time; verify motor and brake status.</t>
  </si>
  <si>
    <t>Maintain motor, contactors, power supply, and overloads; test starts after maintenance and keep redundancy/changeover procedures available.</t>
  </si>
  <si>
    <t>LOPURIF-H02</t>
  </si>
  <si>
    <t>Belt / Coupling / Friction Pad Slipping or Wear</t>
  </si>
  <si>
    <t>Belts, coupling pads, and friction elements wear, become oily, or slip during run-up. Incorrect tension or contamination reduces torque transmission to the bowl.</t>
  </si>
  <si>
    <t>The separator takes too long to start or operates at low speed. Separation efficiency falls and low-speed alarms may occur even though the motor is healthy.</t>
  </si>
  <si>
    <t>Dirty LO may bypass effective purification; repeated slipping generates heat and can damage drive components. The unit may be removed from automatic service for repair.</t>
  </si>
  <si>
    <t>Check run-up time, bowl-speed-low alarms, belt tension/condition, coupling pad wear, and oil contamination on friction pads.</t>
  </si>
  <si>
    <t>Replace worn/oily pads, set belt tension correctly, clean friction surfaces, and inspect drive components at service intervals.</t>
  </si>
  <si>
    <t>LOPURIF-H03</t>
  </si>
  <si>
    <t>Incorrect Frequency / Transmission Parts / Wrong Rotation</t>
  </si>
  <si>
    <t>Using 50 Hz transmission parts with 60 Hz supply, the opposite mismatch, excessive net frequency, or reversed motor connections changes bowl speed or rotation direction. This may occur after motor, belt, pulley, or power-supply work.</t>
  </si>
  <si>
    <t>The bowl can run too fast, too slowly, or in the wrong direction. Separation fails and the manuals warn of disintegration hazard for incorrect transmission/frequency combinations.</t>
  </si>
  <si>
    <t>Major mechanical damage and safety hazard are possible. Even without catastrophic failure, oil is not purified correctly and the unit must be stopped for correction.</t>
  </si>
  <si>
    <t>Verify machine plate against supply frequency, bowl-speed alarms, motor rotation direction, and transmission part markings after maintenance.</t>
  </si>
  <si>
    <t>Use correct pulley/belt/gear sets for ship supply frequency, confirm rotation during commissioning, and include frequency/rotation checks in work permits.</t>
  </si>
  <si>
    <t>LOPURIF-H04</t>
  </si>
  <si>
    <t>Heater Failure / Fouling / Controller Fault</t>
  </si>
  <si>
    <t>Steam trap/valve faults, heater clogging, burned electric elements, faulty triac/contactors, broken wiring, or heater-board/controller failure can prevent controlled heating. Fouling slows temperature rise and can give false process symptoms.</t>
  </si>
  <si>
    <t>Feed oil remains too cold or overheating cannot be stopped. The purifier may alarm on low/high temperature, temperature increase too slow, or temperature not decreasing.</t>
  </si>
  <si>
    <t>Separation performance decreases due to high viscosity or oil degradation due to overheating. Repeated heater faults reduce purifier availability and can mask upstream process issues.</t>
  </si>
  <si>
    <t>Check heater alarms, steam pressure/trap function, element resistance, contactor/triac status, temperature trend, and heater fouling.</t>
  </si>
  <si>
    <t>Maintain steam/electric heater components, clean heat-transfer surfaces, test high-temperature protection, and verify temperature control after repair.</t>
  </si>
  <si>
    <t>LOPURIF-H05</t>
  </si>
  <si>
    <t>Feed Pump / Low Feed Pressure or Flow Failure</t>
  </si>
  <si>
    <t>Pump wear, suction blockage, air ingress, failed starter, closed/restricted valves, or feed-line pressure loss reduces supply to the purifier. The symptom can appear as low flow, low feed pressure, or low backpressure.</t>
  </si>
  <si>
    <t>Insufficient oil reaches the bowl or the expected pressure response is absent. The purifier may remain in standby, recirculate, or trip on feed pressure/flow alarms.</t>
  </si>
  <si>
    <t>Reduced clean-oil throughput lowers the ability to control LO contamination under engine load. A hidden pump fault can be misdiagnosed as separator underperformance.</t>
  </si>
  <si>
    <t>Check feed pressure/flow alarms, pump starter feedback, suction strainers, recirculation restrictions, and backpressure response.</t>
  </si>
  <si>
    <t>Maintain feed pump, strainers, and valves; verify pump starter feedback and flow after service; keep recirculation lines clear.</t>
  </si>
  <si>
    <t>LOPURIF-C01</t>
  </si>
  <si>
    <t>Cyber Security Threat</t>
  </si>
  <si>
    <t>Unauthorized Temperature / Throughput Setpoint Manipulation</t>
  </si>
  <si>
    <t>An unauthorized or unintended change to purifier temperature setpoints, throughput/backpressure settings, or related EPC parameters can be introduced through local panel access, remote access, removable media, weak authentication, or compromised configuration management.</t>
  </si>
  <si>
    <t>The purifier can operate outside the intended separation envelope. Too-low temperature or excessive throughput reduces water and solid removal; unsuitable parameters may also increase repeated alarms or unstable operation.</t>
  </si>
  <si>
    <t>Contaminated lubricating oil may reach engine bearings and other consumers, while repeated trips or poor separation reduce the availability of clean LO supply.</t>
  </si>
  <si>
    <t>Compare live setpoints with the approved parameter sheet; review EPC alarm/parameter history, user access records, remote-access sessions, and unexpected changes after maintenance or network events.</t>
  </si>
  <si>
    <t>Restrict and log parameter changes, enforce role-based access, keep approved configuration backups, test restore procedures, and apply ship cyber-risk controls for computer-based OT systems.</t>
  </si>
  <si>
    <t>Chief Engineer / Electrical Officer / Company IT-Security</t>
  </si>
  <si>
    <t>Alfa Laval S-type Separation System Alarms and Fault Finding, Book 1810573-02 (manual; hosted by University of Rijeka/PFRI); IMO MSC-FAL.1/Circ.3/Rev.3; IACS UR E27 Rev.1</t>
  </si>
  <si>
    <t>https://www.pfri.uniri.hr/web/dokumenti/uploads_nastava/20200604_111213_radonja_Separatori.pdf
https://wwwcdn.imo.org/localresources/en/OurWork/Security/Documents/MSC-FAL.1-Circ.3-Rev.3.pdf
https://www.classnk.or.jp/hp/pdf/info_service/iacs_ur_and_ui/ur_e27_rev.1_sep_2023_cln.pdf</t>
  </si>
  <si>
    <t>LOPURIF-C02</t>
  </si>
  <si>
    <t>Unauthorized Desludging Parameter / Sequence Change</t>
  </si>
  <si>
    <t>Unauthorized or uncontrolled changes to discharge timers, operating mode, solenoid commands, or related EPC/PLC parameters can suppress, delay, or disturb the normal sludge-discharge sequence.</t>
  </si>
  <si>
    <t>The bowl may continue running with accumulated sludge, fail to open during discharge, open at the wrong time, or fail to re-establish the water seal after discharge.</t>
  </si>
  <si>
    <t>Sludge-space filling and disc-stack fouling reduce LO purification effectiveness and can lead to vibration, repeated shutdowns, or oil loss to sludge/drain.</t>
  </si>
  <si>
    <t>Check discharge feedback, bowl-speed decrease after discharge, operating-water valve commands, event/alarm history, and differences between approved and installed parameter or sequence settings.</t>
  </si>
  <si>
    <t>Use access control and change management for EPC/PLC settings, keep controlled configuration backups, test discharge sequences after software/configuration work, and maintain manual fallback procedures.</t>
  </si>
  <si>
    <t>LOPURIF-C03</t>
  </si>
  <si>
    <t>False Remote Status / Alarm or Data-Integrity Failure</t>
  </si>
  <si>
    <t>Compromise or malfunction of communication between the purifier controller, operator panel, and remote monitoring/AMS can corrupt alarm/status information, hide an active fault, or present stale data as current.</t>
  </si>
  <si>
    <t>Operators may believe the purifier is healthy, online, or in automatic mode while local alarms, pressure deviations, water content, speed, or discharge feedback indicate abnormal operation.</t>
  </si>
  <si>
    <t>Delayed response can allow off-spec LO purification, unplanned shutdown, or mechanical damage to progress before corrective action is taken.</t>
  </si>
  <si>
    <t>Cross-check AMS status against local panel alarms, EPC alarm history, local gauges, separator sound/vibration, and recent network or controller communication events.</t>
  </si>
  <si>
    <t>Segment and monitor OT networks, maintain independent local indication where required, apply alarm-management testing, protect configuration and remote access, and keep fallback local/manual operating procedures.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</si>
</sst>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_(&quot;$&quot;* \(#,##0\);_(&quot;$&quot;* &quot;-&quot;_);_(@_)"/>
    <numFmt numFmtId="165" formatCode="_(* #,##0_);_(* \(#,##0\);_(* &quot;-&quot;_);_(@_)"/>
    <numFmt numFmtId="166" formatCode="_(&quot;$&quot;* #,##0.00_);_(&quot;$&quot;* \(#,##0.00\);_(&quot;$&quot;* &quot;-&quot;??_);_(@_)"/>
    <numFmt numFmtId="167" formatCode="_(* #,##0.00_);_(* \(#,##0.00\);_(* &quot;-&quot;??_);_(@_)"/>
  </numFmts>
  <fonts count="4">
    <font>
      <sz val="11"/>
      <color theme="1"/>
      <name val="Calibri"/>
    </font>
    <font>
      <sz val="10"/>
      <name val="Arial"/>
    </font>
    <font>
      <b/>
      <sz val="11"/>
      <color rgb="FFFFFFFF"/>
      <name val="Cambria"/>
    </font>
    <font>
      <sz val="12"/>
      <color theme="10"/>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7">
    <xf numFmtId="0" fontId="0" fillId="0" borderId="0"/>
    <xf numFmtId="167" fontId="1" fillId="0" borderId="0" applyBorder="0" applyAlignment="0" applyProtection="0"/>
    <xf numFmtId="165" fontId="1" fillId="0" borderId="0" applyBorder="0" applyAlignment="0" applyProtection="0"/>
    <xf numFmtId="166" fontId="1" fillId="0" borderId="0" applyBorder="0" applyAlignment="0" applyProtection="0"/>
    <xf numFmtId="164" fontId="1" fillId="0" borderId="0" applyBorder="0" applyAlignment="0" applyProtection="0"/>
    <xf numFmtId="9" fontId="1" fillId="0" borderId="0" applyBorder="0" applyAlignment="0" applyProtection="0"/>
    <xf numFmtId="0" fontId="3" fillId="0" borderId="0"/>
  </cellStyleXfs>
  <cellXfs count="6">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top"/>
    </xf>
    <xf numFmtId="0" fontId="3" fillId="0" borderId="0" xfId="6"/>
    <xf numFmtId="0" fontId="3" fillId="0" borderId="0" xfId="6" applyAlignment="1">
      <alignment wrapText="1"/>
    </xf>
  </cellXfs>
  <cellStyles count="7">
    <cellStyle name="*unknown*" xfId="6" xr:uid="{00000000-0005-0000-0000-000006000000}"/>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OPurifierFMs" displayName="LOPurifierFMs" ref="A1:N31">
  <autoFilter ref="A1:N31" xr:uid="{00000000-0009-0000-0100-000001000000}"/>
  <tableColumns count="14">
    <tableColumn id="1" xr3:uid="{00000000-0010-0000-0000-000001000000}" name="FM ID"/>
    <tableColumn id="2" xr3:uid="{00000000-0010-0000-0000-000002000000}" name="FM Class"/>
    <tableColumn id="3" xr3:uid="{00000000-0010-0000-0000-000003000000}" name="Failure Mode (FM)"/>
    <tableColumn id="4" xr3:uid="{00000000-0010-0000-0000-000004000000}" name="Potential Causes &amp; Mechanism(s) of the FM"/>
    <tableColumn id="5" xr3:uid="{00000000-0010-0000-0000-000005000000}" name="Potential Technical Effects of the FM"/>
    <tableColumn id="6" xr3:uid="{00000000-0010-0000-0000-000006000000}" name="Potential Consequences of the FM"/>
    <tableColumn id="7" xr3:uid="{00000000-0010-0000-0000-000007000000}" name="Severity (1-10)"/>
    <tableColumn id="8" xr3:uid="{00000000-0010-0000-0000-000008000000}" name="Probability (1-10)"/>
    <tableColumn id="9" xr3:uid="{00000000-0010-0000-0000-000009000000}" name="RPN (S x P)"/>
    <tableColumn id="10" xr3:uid="{00000000-0010-0000-0000-00000A000000}" name="Detective Controls"/>
    <tableColumn id="11" xr3:uid="{00000000-0010-0000-0000-00000B000000}" name="Preventive Controls"/>
    <tableColumn id="12" xr3:uid="{00000000-0010-0000-0000-00000C000000}" name="Responsibility"/>
    <tableColumn id="13" xr3:uid="{00000000-0010-0000-0000-00000D000000}" name="Source"/>
    <tableColumn id="14" xr3:uid="{00000000-0010-0000-0000-00000E000000}" name="Link"/>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gradFill>
        <a:gradFill>
          <a:gsLst>
            <a:gs pos="0">
              <a:schemeClr val="phClr">
                <a:tint val="80000"/>
              </a:schemeClr>
            </a:gs>
            <a:gs pos="100000">
              <a:schemeClr val="phClr">
                <a:shade val="3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topLeftCell="G25" workbookViewId="0">
      <selection activeCell="L25" sqref="L25"/>
    </sheetView>
  </sheetViews>
  <sheetFormatPr defaultColWidth="8.7109375" defaultRowHeight="15"/>
  <cols>
    <col min="1" max="1" width="14" customWidth="1"/>
    <col min="2" max="2" width="24" customWidth="1"/>
    <col min="3" max="3" width="32" customWidth="1"/>
    <col min="4" max="4" width="44" customWidth="1"/>
    <col min="5" max="6" width="42" customWidth="1"/>
    <col min="7" max="9" width="12" customWidth="1"/>
    <col min="10" max="11" width="38" customWidth="1"/>
    <col min="12" max="12" width="26" customWidth="1"/>
    <col min="13" max="13" width="40" customWidth="1"/>
    <col min="14" max="14" width="48" customWidth="1"/>
  </cols>
  <sheetData>
    <row r="1" spans="1:14" ht="33.7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customHeight="1">
      <c r="A2" s="2" t="s">
        <v>14</v>
      </c>
      <c r="B2" s="2" t="s">
        <v>15</v>
      </c>
      <c r="C2" s="2" t="s">
        <v>16</v>
      </c>
      <c r="D2" s="2" t="s">
        <v>17</v>
      </c>
      <c r="E2" s="2" t="s">
        <v>18</v>
      </c>
      <c r="F2" s="2" t="s">
        <v>19</v>
      </c>
      <c r="G2" s="3">
        <v>7</v>
      </c>
      <c r="H2" s="3">
        <v>3</v>
      </c>
      <c r="I2" s="3">
        <f t="shared" ref="I2:I31" si="0">G2*H2</f>
        <v>21</v>
      </c>
      <c r="J2" s="2" t="s">
        <v>20</v>
      </c>
      <c r="K2" s="2" t="s">
        <v>21</v>
      </c>
      <c r="L2" s="2" t="s">
        <v>22</v>
      </c>
      <c r="M2" s="2" t="s">
        <v>23</v>
      </c>
      <c r="N2" s="2" t="s">
        <v>24</v>
      </c>
    </row>
    <row r="3" spans="1:14" ht="72" customHeight="1">
      <c r="A3" s="2" t="s">
        <v>25</v>
      </c>
      <c r="B3" s="2" t="s">
        <v>15</v>
      </c>
      <c r="C3" s="2" t="s">
        <v>26</v>
      </c>
      <c r="D3" s="2" t="s">
        <v>27</v>
      </c>
      <c r="E3" s="2" t="s">
        <v>28</v>
      </c>
      <c r="F3" s="2" t="s">
        <v>29</v>
      </c>
      <c r="G3" s="3">
        <v>8</v>
      </c>
      <c r="H3" s="3">
        <v>3</v>
      </c>
      <c r="I3" s="3">
        <f t="shared" si="0"/>
        <v>24</v>
      </c>
      <c r="J3" s="2" t="s">
        <v>30</v>
      </c>
      <c r="K3" s="2" t="s">
        <v>31</v>
      </c>
      <c r="L3" s="2" t="s">
        <v>22</v>
      </c>
      <c r="M3" s="2" t="s">
        <v>32</v>
      </c>
      <c r="N3" s="2" t="s">
        <v>33</v>
      </c>
    </row>
    <row r="4" spans="1:14" ht="72" customHeight="1">
      <c r="A4" s="2" t="s">
        <v>34</v>
      </c>
      <c r="B4" s="2" t="s">
        <v>15</v>
      </c>
      <c r="C4" s="2" t="s">
        <v>35</v>
      </c>
      <c r="D4" s="2" t="s">
        <v>36</v>
      </c>
      <c r="E4" s="2" t="s">
        <v>37</v>
      </c>
      <c r="F4" s="2" t="s">
        <v>38</v>
      </c>
      <c r="G4" s="3">
        <v>7</v>
      </c>
      <c r="H4" s="3">
        <v>3</v>
      </c>
      <c r="I4" s="3">
        <f t="shared" si="0"/>
        <v>21</v>
      </c>
      <c r="J4" s="2" t="s">
        <v>39</v>
      </c>
      <c r="K4" s="2" t="s">
        <v>40</v>
      </c>
      <c r="L4" s="2" t="s">
        <v>22</v>
      </c>
      <c r="M4" s="2" t="s">
        <v>41</v>
      </c>
      <c r="N4" s="2" t="s">
        <v>42</v>
      </c>
    </row>
    <row r="5" spans="1:14" ht="72" customHeight="1">
      <c r="A5" s="2" t="s">
        <v>43</v>
      </c>
      <c r="B5" s="2" t="s">
        <v>15</v>
      </c>
      <c r="C5" s="2" t="s">
        <v>44</v>
      </c>
      <c r="D5" s="2" t="s">
        <v>45</v>
      </c>
      <c r="E5" s="2" t="s">
        <v>46</v>
      </c>
      <c r="F5" s="2" t="s">
        <v>47</v>
      </c>
      <c r="G5" s="3">
        <v>6</v>
      </c>
      <c r="H5" s="3">
        <v>3</v>
      </c>
      <c r="I5" s="3">
        <f t="shared" si="0"/>
        <v>18</v>
      </c>
      <c r="J5" s="2" t="s">
        <v>48</v>
      </c>
      <c r="K5" s="2" t="s">
        <v>49</v>
      </c>
      <c r="L5" s="2" t="s">
        <v>22</v>
      </c>
      <c r="M5" s="2" t="s">
        <v>50</v>
      </c>
      <c r="N5" s="2" t="s">
        <v>51</v>
      </c>
    </row>
    <row r="6" spans="1:14" ht="72" customHeight="1">
      <c r="A6" s="2" t="s">
        <v>52</v>
      </c>
      <c r="B6" s="2" t="s">
        <v>53</v>
      </c>
      <c r="C6" s="2" t="s">
        <v>54</v>
      </c>
      <c r="D6" s="2" t="s">
        <v>55</v>
      </c>
      <c r="E6" s="2" t="s">
        <v>56</v>
      </c>
      <c r="F6" s="2" t="s">
        <v>57</v>
      </c>
      <c r="G6" s="3">
        <v>6</v>
      </c>
      <c r="H6" s="3">
        <v>3</v>
      </c>
      <c r="I6" s="3">
        <f t="shared" si="0"/>
        <v>18</v>
      </c>
      <c r="J6" s="2" t="s">
        <v>58</v>
      </c>
      <c r="K6" s="2" t="s">
        <v>59</v>
      </c>
      <c r="L6" s="2" t="s">
        <v>22</v>
      </c>
      <c r="M6" s="2" t="s">
        <v>60</v>
      </c>
      <c r="N6" s="4" t="s">
        <v>61</v>
      </c>
    </row>
    <row r="7" spans="1:14" ht="72" customHeight="1">
      <c r="A7" s="2" t="s">
        <v>62</v>
      </c>
      <c r="B7" s="2" t="s">
        <v>63</v>
      </c>
      <c r="C7" s="2" t="s">
        <v>64</v>
      </c>
      <c r="D7" s="2" t="s">
        <v>65</v>
      </c>
      <c r="E7" s="2" t="s">
        <v>66</v>
      </c>
      <c r="F7" s="2" t="s">
        <v>67</v>
      </c>
      <c r="G7" s="3">
        <v>8</v>
      </c>
      <c r="H7" s="3">
        <v>4</v>
      </c>
      <c r="I7" s="3">
        <f t="shared" si="0"/>
        <v>32</v>
      </c>
      <c r="J7" s="2" t="s">
        <v>68</v>
      </c>
      <c r="K7" s="2" t="s">
        <v>69</v>
      </c>
      <c r="L7" s="2" t="s">
        <v>22</v>
      </c>
      <c r="M7" s="2" t="s">
        <v>23</v>
      </c>
      <c r="N7" s="2" t="s">
        <v>24</v>
      </c>
    </row>
    <row r="8" spans="1:14" ht="72" customHeight="1">
      <c r="A8" s="2" t="s">
        <v>70</v>
      </c>
      <c r="B8" s="2" t="s">
        <v>63</v>
      </c>
      <c r="C8" s="2" t="s">
        <v>71</v>
      </c>
      <c r="D8" s="2" t="s">
        <v>72</v>
      </c>
      <c r="E8" s="2" t="s">
        <v>73</v>
      </c>
      <c r="F8" s="2" t="s">
        <v>74</v>
      </c>
      <c r="G8" s="3">
        <v>7</v>
      </c>
      <c r="H8" s="3">
        <v>3</v>
      </c>
      <c r="I8" s="3">
        <f t="shared" si="0"/>
        <v>21</v>
      </c>
      <c r="J8" s="2" t="s">
        <v>75</v>
      </c>
      <c r="K8" s="2" t="s">
        <v>76</v>
      </c>
      <c r="L8" s="2" t="s">
        <v>22</v>
      </c>
      <c r="M8" s="2" t="s">
        <v>60</v>
      </c>
      <c r="N8" s="4" t="s">
        <v>61</v>
      </c>
    </row>
    <row r="9" spans="1:14" ht="72" customHeight="1">
      <c r="A9" s="2" t="s">
        <v>77</v>
      </c>
      <c r="B9" s="2" t="s">
        <v>78</v>
      </c>
      <c r="C9" s="2" t="s">
        <v>79</v>
      </c>
      <c r="D9" s="2" t="s">
        <v>80</v>
      </c>
      <c r="E9" s="2" t="s">
        <v>81</v>
      </c>
      <c r="F9" s="2" t="s">
        <v>82</v>
      </c>
      <c r="G9" s="3">
        <v>8</v>
      </c>
      <c r="H9" s="3">
        <v>3</v>
      </c>
      <c r="I9" s="3">
        <f t="shared" si="0"/>
        <v>24</v>
      </c>
      <c r="J9" s="2" t="s">
        <v>83</v>
      </c>
      <c r="K9" s="2" t="s">
        <v>84</v>
      </c>
      <c r="L9" s="2" t="s">
        <v>22</v>
      </c>
      <c r="M9" s="2" t="s">
        <v>50</v>
      </c>
      <c r="N9" s="2" t="s">
        <v>51</v>
      </c>
    </row>
    <row r="10" spans="1:14" ht="72" customHeight="1">
      <c r="A10" s="2" t="s">
        <v>85</v>
      </c>
      <c r="B10" s="2" t="s">
        <v>78</v>
      </c>
      <c r="C10" s="2" t="s">
        <v>86</v>
      </c>
      <c r="D10" s="2" t="s">
        <v>87</v>
      </c>
      <c r="E10" s="2" t="s">
        <v>88</v>
      </c>
      <c r="F10" s="2" t="s">
        <v>89</v>
      </c>
      <c r="G10" s="3">
        <v>8</v>
      </c>
      <c r="H10" s="3">
        <v>3</v>
      </c>
      <c r="I10" s="3">
        <f t="shared" si="0"/>
        <v>24</v>
      </c>
      <c r="J10" s="2" t="s">
        <v>90</v>
      </c>
      <c r="K10" s="2" t="s">
        <v>91</v>
      </c>
      <c r="L10" s="2" t="s">
        <v>22</v>
      </c>
      <c r="M10" s="2" t="s">
        <v>41</v>
      </c>
      <c r="N10" s="2" t="s">
        <v>42</v>
      </c>
    </row>
    <row r="11" spans="1:14" ht="72" customHeight="1">
      <c r="A11" s="2" t="s">
        <v>92</v>
      </c>
      <c r="B11" s="2" t="s">
        <v>78</v>
      </c>
      <c r="C11" s="2" t="s">
        <v>93</v>
      </c>
      <c r="D11" s="2" t="s">
        <v>94</v>
      </c>
      <c r="E11" s="2" t="s">
        <v>95</v>
      </c>
      <c r="F11" s="2" t="s">
        <v>96</v>
      </c>
      <c r="G11" s="3">
        <v>7</v>
      </c>
      <c r="H11" s="3">
        <v>3</v>
      </c>
      <c r="I11" s="3">
        <f t="shared" si="0"/>
        <v>21</v>
      </c>
      <c r="J11" s="2" t="s">
        <v>97</v>
      </c>
      <c r="K11" s="2" t="s">
        <v>98</v>
      </c>
      <c r="L11" s="2" t="s">
        <v>22</v>
      </c>
      <c r="M11" s="2" t="s">
        <v>60</v>
      </c>
      <c r="N11" s="2" t="s">
        <v>61</v>
      </c>
    </row>
    <row r="12" spans="1:14" ht="72" customHeight="1">
      <c r="A12" s="2" t="s">
        <v>99</v>
      </c>
      <c r="B12" s="2" t="s">
        <v>100</v>
      </c>
      <c r="C12" s="2" t="s">
        <v>101</v>
      </c>
      <c r="D12" s="2" t="s">
        <v>102</v>
      </c>
      <c r="E12" s="2" t="s">
        <v>103</v>
      </c>
      <c r="F12" s="2" t="s">
        <v>104</v>
      </c>
      <c r="G12" s="3">
        <v>8</v>
      </c>
      <c r="H12" s="3">
        <v>4</v>
      </c>
      <c r="I12" s="3">
        <f t="shared" si="0"/>
        <v>32</v>
      </c>
      <c r="J12" s="2" t="s">
        <v>105</v>
      </c>
      <c r="K12" s="2" t="s">
        <v>106</v>
      </c>
      <c r="L12" s="2" t="s">
        <v>107</v>
      </c>
      <c r="M12" s="2" t="s">
        <v>23</v>
      </c>
      <c r="N12" s="2" t="s">
        <v>24</v>
      </c>
    </row>
    <row r="13" spans="1:14" ht="72" customHeight="1">
      <c r="A13" s="2" t="s">
        <v>108</v>
      </c>
      <c r="B13" s="2" t="s">
        <v>100</v>
      </c>
      <c r="C13" s="2" t="s">
        <v>109</v>
      </c>
      <c r="D13" s="2" t="s">
        <v>110</v>
      </c>
      <c r="E13" s="2" t="s">
        <v>111</v>
      </c>
      <c r="F13" s="2" t="s">
        <v>112</v>
      </c>
      <c r="G13" s="3">
        <v>8</v>
      </c>
      <c r="H13" s="3">
        <v>4</v>
      </c>
      <c r="I13" s="3">
        <f t="shared" si="0"/>
        <v>32</v>
      </c>
      <c r="J13" s="2" t="s">
        <v>113</v>
      </c>
      <c r="K13" s="2" t="s">
        <v>114</v>
      </c>
      <c r="L13" s="2" t="s">
        <v>107</v>
      </c>
      <c r="M13" s="2" t="s">
        <v>32</v>
      </c>
      <c r="N13" s="2" t="s">
        <v>33</v>
      </c>
    </row>
    <row r="14" spans="1:14" ht="72" customHeight="1">
      <c r="A14" s="2" t="s">
        <v>115</v>
      </c>
      <c r="B14" s="2" t="s">
        <v>100</v>
      </c>
      <c r="C14" s="2" t="s">
        <v>116</v>
      </c>
      <c r="D14" s="2" t="s">
        <v>117</v>
      </c>
      <c r="E14" s="2" t="s">
        <v>118</v>
      </c>
      <c r="F14" s="2" t="s">
        <v>119</v>
      </c>
      <c r="G14" s="3">
        <v>7</v>
      </c>
      <c r="H14" s="3">
        <v>3</v>
      </c>
      <c r="I14" s="3">
        <f t="shared" si="0"/>
        <v>21</v>
      </c>
      <c r="J14" s="2" t="s">
        <v>120</v>
      </c>
      <c r="K14" s="2" t="s">
        <v>121</v>
      </c>
      <c r="L14" s="2" t="s">
        <v>107</v>
      </c>
      <c r="M14" s="2" t="s">
        <v>41</v>
      </c>
      <c r="N14" s="5" t="s">
        <v>42</v>
      </c>
    </row>
    <row r="15" spans="1:14" ht="72" customHeight="1">
      <c r="A15" s="2" t="s">
        <v>122</v>
      </c>
      <c r="B15" s="2" t="s">
        <v>100</v>
      </c>
      <c r="C15" s="2" t="s">
        <v>123</v>
      </c>
      <c r="D15" s="2" t="s">
        <v>124</v>
      </c>
      <c r="E15" s="2" t="s">
        <v>125</v>
      </c>
      <c r="F15" s="2" t="s">
        <v>126</v>
      </c>
      <c r="G15" s="3">
        <v>7</v>
      </c>
      <c r="H15" s="3">
        <v>3</v>
      </c>
      <c r="I15" s="3">
        <f t="shared" si="0"/>
        <v>21</v>
      </c>
      <c r="J15" s="2" t="s">
        <v>127</v>
      </c>
      <c r="K15" s="2" t="s">
        <v>128</v>
      </c>
      <c r="L15" s="2" t="s">
        <v>107</v>
      </c>
      <c r="M15" s="2" t="s">
        <v>129</v>
      </c>
      <c r="N15" s="2" t="s">
        <v>130</v>
      </c>
    </row>
    <row r="16" spans="1:14" ht="72" customHeight="1">
      <c r="A16" s="2" t="s">
        <v>131</v>
      </c>
      <c r="B16" s="2" t="s">
        <v>100</v>
      </c>
      <c r="C16" s="2" t="s">
        <v>132</v>
      </c>
      <c r="D16" s="2" t="s">
        <v>133</v>
      </c>
      <c r="E16" s="2" t="s">
        <v>134</v>
      </c>
      <c r="F16" s="2" t="s">
        <v>135</v>
      </c>
      <c r="G16" s="3">
        <v>6</v>
      </c>
      <c r="H16" s="3">
        <v>3</v>
      </c>
      <c r="I16" s="3">
        <f t="shared" si="0"/>
        <v>18</v>
      </c>
      <c r="J16" s="2" t="s">
        <v>136</v>
      </c>
      <c r="K16" s="2" t="s">
        <v>137</v>
      </c>
      <c r="L16" s="2" t="s">
        <v>107</v>
      </c>
      <c r="M16" s="2" t="s">
        <v>60</v>
      </c>
      <c r="N16" s="2" t="s">
        <v>61</v>
      </c>
    </row>
    <row r="17" spans="1:14" ht="72" customHeight="1">
      <c r="A17" s="2" t="s">
        <v>138</v>
      </c>
      <c r="B17" s="2" t="s">
        <v>100</v>
      </c>
      <c r="C17" s="2" t="s">
        <v>139</v>
      </c>
      <c r="D17" s="2" t="s">
        <v>140</v>
      </c>
      <c r="E17" s="2" t="s">
        <v>141</v>
      </c>
      <c r="F17" s="2" t="s">
        <v>142</v>
      </c>
      <c r="G17" s="3">
        <v>9</v>
      </c>
      <c r="H17" s="3">
        <v>3</v>
      </c>
      <c r="I17" s="3">
        <f t="shared" si="0"/>
        <v>27</v>
      </c>
      <c r="J17" s="2" t="s">
        <v>143</v>
      </c>
      <c r="K17" s="2" t="s">
        <v>144</v>
      </c>
      <c r="L17" s="2" t="s">
        <v>107</v>
      </c>
      <c r="M17" s="2" t="s">
        <v>23</v>
      </c>
      <c r="N17" s="2" t="s">
        <v>24</v>
      </c>
    </row>
    <row r="18" spans="1:14" ht="72" customHeight="1">
      <c r="A18" s="2" t="s">
        <v>145</v>
      </c>
      <c r="B18" s="2" t="s">
        <v>100</v>
      </c>
      <c r="C18" s="2" t="s">
        <v>146</v>
      </c>
      <c r="D18" s="2" t="s">
        <v>147</v>
      </c>
      <c r="E18" s="2" t="s">
        <v>148</v>
      </c>
      <c r="F18" s="2" t="s">
        <v>149</v>
      </c>
      <c r="G18" s="3">
        <v>8</v>
      </c>
      <c r="H18" s="3">
        <v>4</v>
      </c>
      <c r="I18" s="3">
        <f t="shared" si="0"/>
        <v>32</v>
      </c>
      <c r="J18" s="2" t="s">
        <v>150</v>
      </c>
      <c r="K18" s="2" t="s">
        <v>151</v>
      </c>
      <c r="L18" s="2" t="s">
        <v>107</v>
      </c>
      <c r="M18" s="2" t="s">
        <v>152</v>
      </c>
      <c r="N18" s="2" t="s">
        <v>153</v>
      </c>
    </row>
    <row r="19" spans="1:14" ht="72" customHeight="1">
      <c r="A19" s="2" t="s">
        <v>154</v>
      </c>
      <c r="B19" s="2" t="s">
        <v>100</v>
      </c>
      <c r="C19" s="2" t="s">
        <v>155</v>
      </c>
      <c r="D19" s="2" t="s">
        <v>156</v>
      </c>
      <c r="E19" s="2" t="s">
        <v>157</v>
      </c>
      <c r="F19" s="2" t="s">
        <v>158</v>
      </c>
      <c r="G19" s="3">
        <v>9</v>
      </c>
      <c r="H19" s="3">
        <v>3</v>
      </c>
      <c r="I19" s="3">
        <f t="shared" si="0"/>
        <v>27</v>
      </c>
      <c r="J19" s="2" t="s">
        <v>159</v>
      </c>
      <c r="K19" s="2" t="s">
        <v>160</v>
      </c>
      <c r="L19" s="2" t="s">
        <v>107</v>
      </c>
      <c r="M19" s="2" t="s">
        <v>23</v>
      </c>
      <c r="N19" s="5" t="s">
        <v>24</v>
      </c>
    </row>
    <row r="20" spans="1:14" ht="72" customHeight="1">
      <c r="A20" s="2" t="s">
        <v>161</v>
      </c>
      <c r="B20" s="2" t="s">
        <v>100</v>
      </c>
      <c r="C20" s="2" t="s">
        <v>162</v>
      </c>
      <c r="D20" s="2" t="s">
        <v>163</v>
      </c>
      <c r="E20" s="2" t="s">
        <v>164</v>
      </c>
      <c r="F20" s="2" t="s">
        <v>165</v>
      </c>
      <c r="G20" s="3">
        <v>9</v>
      </c>
      <c r="H20" s="3">
        <v>2</v>
      </c>
      <c r="I20" s="3">
        <f t="shared" si="0"/>
        <v>18</v>
      </c>
      <c r="J20" s="2" t="s">
        <v>166</v>
      </c>
      <c r="K20" s="2" t="s">
        <v>167</v>
      </c>
      <c r="L20" s="2" t="s">
        <v>107</v>
      </c>
      <c r="M20" s="2" t="s">
        <v>50</v>
      </c>
      <c r="N20" s="2" t="s">
        <v>51</v>
      </c>
    </row>
    <row r="21" spans="1:14" ht="72" customHeight="1">
      <c r="A21" s="2" t="s">
        <v>168</v>
      </c>
      <c r="B21" s="2" t="s">
        <v>100</v>
      </c>
      <c r="C21" s="2" t="s">
        <v>169</v>
      </c>
      <c r="D21" s="2" t="s">
        <v>170</v>
      </c>
      <c r="E21" s="2" t="s">
        <v>171</v>
      </c>
      <c r="F21" s="2" t="s">
        <v>172</v>
      </c>
      <c r="G21" s="3">
        <v>9</v>
      </c>
      <c r="H21" s="3">
        <v>3</v>
      </c>
      <c r="I21" s="3">
        <f t="shared" si="0"/>
        <v>27</v>
      </c>
      <c r="J21" s="2" t="s">
        <v>173</v>
      </c>
      <c r="K21" s="2" t="s">
        <v>174</v>
      </c>
      <c r="L21" s="2" t="s">
        <v>107</v>
      </c>
      <c r="M21" s="2" t="s">
        <v>23</v>
      </c>
      <c r="N21" s="2" t="s">
        <v>24</v>
      </c>
    </row>
    <row r="22" spans="1:14" ht="72" customHeight="1">
      <c r="A22" s="2" t="s">
        <v>175</v>
      </c>
      <c r="B22" s="2" t="s">
        <v>100</v>
      </c>
      <c r="C22" s="2" t="s">
        <v>176</v>
      </c>
      <c r="D22" s="2" t="s">
        <v>177</v>
      </c>
      <c r="E22" s="2" t="s">
        <v>178</v>
      </c>
      <c r="F22" s="2" t="s">
        <v>179</v>
      </c>
      <c r="G22" s="3">
        <v>7</v>
      </c>
      <c r="H22" s="3">
        <v>3</v>
      </c>
      <c r="I22" s="3">
        <f t="shared" si="0"/>
        <v>21</v>
      </c>
      <c r="J22" s="2" t="s">
        <v>180</v>
      </c>
      <c r="K22" s="2" t="s">
        <v>181</v>
      </c>
      <c r="L22" s="2" t="s">
        <v>107</v>
      </c>
      <c r="M22" s="2" t="s">
        <v>41</v>
      </c>
      <c r="N22" s="2" t="s">
        <v>42</v>
      </c>
    </row>
    <row r="23" spans="1:14" ht="72" customHeight="1">
      <c r="A23" s="2" t="s">
        <v>182</v>
      </c>
      <c r="B23" s="2" t="s">
        <v>100</v>
      </c>
      <c r="C23" s="2" t="s">
        <v>183</v>
      </c>
      <c r="D23" s="2" t="s">
        <v>184</v>
      </c>
      <c r="E23" s="2" t="s">
        <v>185</v>
      </c>
      <c r="F23" s="2" t="s">
        <v>186</v>
      </c>
      <c r="G23" s="3">
        <v>7</v>
      </c>
      <c r="H23" s="3">
        <v>3</v>
      </c>
      <c r="I23" s="3">
        <f t="shared" si="0"/>
        <v>21</v>
      </c>
      <c r="J23" s="2" t="s">
        <v>187</v>
      </c>
      <c r="K23" s="2" t="s">
        <v>188</v>
      </c>
      <c r="L23" s="2" t="s">
        <v>107</v>
      </c>
      <c r="M23" s="2" t="s">
        <v>189</v>
      </c>
      <c r="N23" s="2" t="s">
        <v>190</v>
      </c>
    </row>
    <row r="24" spans="1:14" ht="72" customHeight="1">
      <c r="A24" s="2" t="s">
        <v>191</v>
      </c>
      <c r="B24" s="2" t="s">
        <v>192</v>
      </c>
      <c r="C24" s="2" t="s">
        <v>193</v>
      </c>
      <c r="D24" s="2" t="s">
        <v>194</v>
      </c>
      <c r="E24" s="2" t="s">
        <v>195</v>
      </c>
      <c r="F24" s="2" t="s">
        <v>196</v>
      </c>
      <c r="G24" s="3">
        <v>7</v>
      </c>
      <c r="H24" s="3">
        <v>3</v>
      </c>
      <c r="I24" s="3">
        <f t="shared" si="0"/>
        <v>21</v>
      </c>
      <c r="J24" s="2" t="s">
        <v>197</v>
      </c>
      <c r="K24" s="2" t="s">
        <v>198</v>
      </c>
      <c r="L24" s="2" t="s">
        <v>22</v>
      </c>
      <c r="M24" s="2" t="s">
        <v>23</v>
      </c>
      <c r="N24" s="2" t="s">
        <v>24</v>
      </c>
    </row>
    <row r="25" spans="1:14" ht="72" customHeight="1">
      <c r="A25" s="2" t="s">
        <v>199</v>
      </c>
      <c r="B25" s="2" t="s">
        <v>192</v>
      </c>
      <c r="C25" s="2" t="s">
        <v>200</v>
      </c>
      <c r="D25" s="2" t="s">
        <v>201</v>
      </c>
      <c r="E25" s="2" t="s">
        <v>202</v>
      </c>
      <c r="F25" s="2" t="s">
        <v>203</v>
      </c>
      <c r="G25" s="3">
        <v>7</v>
      </c>
      <c r="H25" s="3">
        <v>4</v>
      </c>
      <c r="I25" s="3">
        <f t="shared" si="0"/>
        <v>28</v>
      </c>
      <c r="J25" s="2" t="s">
        <v>204</v>
      </c>
      <c r="K25" s="2" t="s">
        <v>205</v>
      </c>
      <c r="L25" s="2" t="s">
        <v>22</v>
      </c>
      <c r="M25" s="2" t="s">
        <v>41</v>
      </c>
      <c r="N25" s="2" t="s">
        <v>42</v>
      </c>
    </row>
    <row r="26" spans="1:14" ht="72" customHeight="1">
      <c r="A26" s="2" t="s">
        <v>206</v>
      </c>
      <c r="B26" s="2" t="s">
        <v>192</v>
      </c>
      <c r="C26" s="2" t="s">
        <v>207</v>
      </c>
      <c r="D26" s="2" t="s">
        <v>208</v>
      </c>
      <c r="E26" s="2" t="s">
        <v>209</v>
      </c>
      <c r="F26" s="2" t="s">
        <v>210</v>
      </c>
      <c r="G26" s="3">
        <v>10</v>
      </c>
      <c r="H26" s="3">
        <v>2</v>
      </c>
      <c r="I26" s="3">
        <f t="shared" si="0"/>
        <v>20</v>
      </c>
      <c r="J26" s="2" t="s">
        <v>211</v>
      </c>
      <c r="K26" s="2" t="s">
        <v>212</v>
      </c>
      <c r="L26" s="2" t="s">
        <v>22</v>
      </c>
      <c r="M26" s="2" t="s">
        <v>41</v>
      </c>
      <c r="N26" s="5" t="s">
        <v>42</v>
      </c>
    </row>
    <row r="27" spans="1:14" ht="72" customHeight="1">
      <c r="A27" s="2" t="s">
        <v>213</v>
      </c>
      <c r="B27" s="2" t="s">
        <v>192</v>
      </c>
      <c r="C27" s="2" t="s">
        <v>214</v>
      </c>
      <c r="D27" s="2" t="s">
        <v>215</v>
      </c>
      <c r="E27" s="2" t="s">
        <v>216</v>
      </c>
      <c r="F27" s="2" t="s">
        <v>217</v>
      </c>
      <c r="G27" s="3">
        <v>7</v>
      </c>
      <c r="H27" s="3">
        <v>4</v>
      </c>
      <c r="I27" s="3">
        <f t="shared" si="0"/>
        <v>28</v>
      </c>
      <c r="J27" s="2" t="s">
        <v>218</v>
      </c>
      <c r="K27" s="2" t="s">
        <v>219</v>
      </c>
      <c r="L27" s="2" t="s">
        <v>22</v>
      </c>
      <c r="M27" s="2" t="s">
        <v>32</v>
      </c>
      <c r="N27" s="2" t="s">
        <v>33</v>
      </c>
    </row>
    <row r="28" spans="1:14" ht="72" customHeight="1">
      <c r="A28" s="2" t="s">
        <v>220</v>
      </c>
      <c r="B28" s="2" t="s">
        <v>192</v>
      </c>
      <c r="C28" s="2" t="s">
        <v>221</v>
      </c>
      <c r="D28" s="2" t="s">
        <v>222</v>
      </c>
      <c r="E28" s="2" t="s">
        <v>223</v>
      </c>
      <c r="F28" s="2" t="s">
        <v>224</v>
      </c>
      <c r="G28" s="3">
        <v>7</v>
      </c>
      <c r="H28" s="3">
        <v>3</v>
      </c>
      <c r="I28" s="3">
        <f t="shared" si="0"/>
        <v>21</v>
      </c>
      <c r="J28" s="2" t="s">
        <v>225</v>
      </c>
      <c r="K28" s="2" t="s">
        <v>226</v>
      </c>
      <c r="L28" s="2" t="s">
        <v>22</v>
      </c>
      <c r="M28" s="2" t="s">
        <v>60</v>
      </c>
      <c r="N28" s="2" t="s">
        <v>61</v>
      </c>
    </row>
    <row r="29" spans="1:14" ht="72" customHeight="1">
      <c r="A29" s="2" t="s">
        <v>227</v>
      </c>
      <c r="B29" s="2" t="s">
        <v>228</v>
      </c>
      <c r="C29" s="2" t="s">
        <v>229</v>
      </c>
      <c r="D29" s="2" t="s">
        <v>230</v>
      </c>
      <c r="E29" s="2" t="s">
        <v>231</v>
      </c>
      <c r="F29" s="2" t="s">
        <v>232</v>
      </c>
      <c r="G29" s="3">
        <v>8</v>
      </c>
      <c r="H29" s="3">
        <v>2</v>
      </c>
      <c r="I29" s="3">
        <f t="shared" si="0"/>
        <v>16</v>
      </c>
      <c r="J29" s="2" t="s">
        <v>233</v>
      </c>
      <c r="K29" s="2" t="s">
        <v>234</v>
      </c>
      <c r="L29" s="2" t="s">
        <v>235</v>
      </c>
      <c r="M29" s="2" t="s">
        <v>236</v>
      </c>
      <c r="N29" s="2" t="s">
        <v>237</v>
      </c>
    </row>
    <row r="30" spans="1:14" ht="72" customHeight="1">
      <c r="A30" s="2" t="s">
        <v>238</v>
      </c>
      <c r="B30" s="2" t="s">
        <v>228</v>
      </c>
      <c r="C30" s="2" t="s">
        <v>239</v>
      </c>
      <c r="D30" s="2" t="s">
        <v>240</v>
      </c>
      <c r="E30" s="2" t="s">
        <v>241</v>
      </c>
      <c r="F30" s="2" t="s">
        <v>242</v>
      </c>
      <c r="G30" s="3">
        <v>8</v>
      </c>
      <c r="H30" s="3">
        <v>2</v>
      </c>
      <c r="I30" s="3">
        <f t="shared" si="0"/>
        <v>16</v>
      </c>
      <c r="J30" s="2" t="s">
        <v>243</v>
      </c>
      <c r="K30" s="2" t="s">
        <v>244</v>
      </c>
      <c r="L30" s="2" t="s">
        <v>235</v>
      </c>
      <c r="M30" s="2" t="s">
        <v>236</v>
      </c>
      <c r="N30" s="2" t="s">
        <v>237</v>
      </c>
    </row>
    <row r="31" spans="1:14" ht="72" customHeight="1">
      <c r="A31" s="2" t="s">
        <v>245</v>
      </c>
      <c r="B31" s="2" t="s">
        <v>228</v>
      </c>
      <c r="C31" s="2" t="s">
        <v>246</v>
      </c>
      <c r="D31" s="2" t="s">
        <v>247</v>
      </c>
      <c r="E31" s="2" t="s">
        <v>248</v>
      </c>
      <c r="F31" s="2" t="s">
        <v>249</v>
      </c>
      <c r="G31" s="3">
        <v>7</v>
      </c>
      <c r="H31" s="3">
        <v>2</v>
      </c>
      <c r="I31" s="3">
        <f t="shared" si="0"/>
        <v>14</v>
      </c>
      <c r="J31" s="2" t="s">
        <v>250</v>
      </c>
      <c r="K31" s="2" t="s">
        <v>251</v>
      </c>
      <c r="L31" s="2" t="s">
        <v>235</v>
      </c>
      <c r="M31" s="2" t="s">
        <v>236</v>
      </c>
      <c r="N31" s="5" t="s">
        <v>237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72dafea-079e-4f13-8c31-726b68bf6a28" xsi:nil="true"/>
    <lcf76f155ced4ddcb4097134ff3c332f xmlns="476fff79-cca5-4bf5-bfa1-08e490f83e2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Έγγραφο" ma:contentTypeID="0x010100B304A6117C4DF84CB3C8B051AC891574" ma:contentTypeVersion="20" ma:contentTypeDescription="Δημιουργία νέου εγγράφου" ma:contentTypeScope="" ma:versionID="4ed839a14509944c5291fcd17fa2b9d9">
  <xsd:schema xmlns:xsd="http://www.w3.org/2001/XMLSchema" xmlns:xs="http://www.w3.org/2001/XMLSchema" xmlns:p="http://schemas.microsoft.com/office/2006/metadata/properties" xmlns:ns2="476fff79-cca5-4bf5-bfa1-08e490f83e28" xmlns:ns3="d72dafea-079e-4f13-8c31-726b68bf6a28" targetNamespace="http://schemas.microsoft.com/office/2006/metadata/properties" ma:root="true" ma:fieldsID="77a66d2d8778af9a3e204b39cbf3bb64" ns2:_="" ns3:_="">
    <xsd:import namespace="476fff79-cca5-4bf5-bfa1-08e490f83e28"/>
    <xsd:import namespace="d72dafea-079e-4f13-8c31-726b68bf6a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6fff79-cca5-4bf5-bfa1-08e490f83e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Ετικέτες εικόνας"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2dafea-079e-4f13-8c31-726b68bf6a2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4e1b9b5-9fa9-4613-b7f5-e0abfd9c0063}" ma:internalName="TaxCatchAll" ma:showField="CatchAllData" ma:web="d72dafea-079e-4f13-8c31-726b68bf6a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Τύπος περιεχομένου"/>
        <xsd:element ref="dc:title" minOccurs="0" maxOccurs="1" ma:index="4" ma:displayName="Τίτλο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E191C-ADC7-4166-AE35-C55C1A4FEFD3}"/>
</file>

<file path=customXml/itemProps2.xml><?xml version="1.0" encoding="utf-8"?>
<ds:datastoreItem xmlns:ds="http://schemas.openxmlformats.org/officeDocument/2006/customXml" ds:itemID="{DE2B46CE-8921-4338-92A6-BC3C2B3A1AEB}"/>
</file>

<file path=customXml/itemProps3.xml><?xml version="1.0" encoding="utf-8"?>
<ds:datastoreItem xmlns:ds="http://schemas.openxmlformats.org/officeDocument/2006/customXml" ds:itemID="{AE558436-8CDB-4A1E-9C8F-1F8FB86BFE2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Morelos, Joseph</cp:lastModifiedBy>
  <cp:revision/>
  <dcterms:created xsi:type="dcterms:W3CDTF">2026-08-10T11:22:21Z</dcterms:created>
  <dcterms:modified xsi:type="dcterms:W3CDTF">2026-08-10T11:22:21Z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0x010100B304A6117C4DF84CB3C8B051AC891574</vt:lpwstr>
  </property>
  <property fmtid="{D5CDD505-2E9C-101B-9397-08002B2CF9AE}" pid="3" name="MediaServiceImageTags">
    <vt:lpwstr/>
  </property>
</Properties>
</file>