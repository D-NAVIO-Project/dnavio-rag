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C:\Users\dioni\Desktop\phd\D_Navio\WP5\verified_new_template\"/>
    </mc:Choice>
  </mc:AlternateContent>
  <xr:revisionPtr revIDLastSave="0" documentId="13_ncr:1_{332BEEA8-90C4-4CF0-9C8E-10C46EB9CF30}" xr6:coauthVersionLast="47" xr6:coauthVersionMax="47" xr10:uidLastSave="{00000000-0000-0000-0000-000000000000}"/>
  <bookViews>
    <workbookView xWindow="-120" yWindow="-120" windowWidth="29040" windowHeight="15720" xr2:uid="{00000000-000D-0000-FFFF-FFFF00000000}"/>
  </bookViews>
  <sheets>
    <sheet name="FO_DO Purifier F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 i="1" l="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<sst xmlns="http://schemas.openxmlformats.org/spreadsheetml/2006/main" count="377" uniqueCount="278">
  <si>
    <t>FM ID</t>
  </si>
  <si>
    <t>FM Class</t>
  </si>
  <si>
    <t>Failure Mode (FM)</t>
  </si>
  <si>
    <t>Potential Causes &amp; Mechanism(s) of the FM</t>
  </si>
  <si>
    <t>Potential Technical Effects of the FM</t>
  </si>
  <si>
    <t>Potential Consequences of the FM</t>
  </si>
  <si>
    <t>Severity (1-10)</t>
  </si>
  <si>
    <t>Probability (1-10)</t>
  </si>
  <si>
    <t>RPN (S x P)</t>
  </si>
  <si>
    <t>Detective Controls</t>
  </si>
  <si>
    <t>Preventive Controls</t>
  </si>
  <si>
    <t>Responsibility</t>
  </si>
  <si>
    <t>Source</t>
  </si>
  <si>
    <t>Link</t>
  </si>
  <si>
    <t>FODOPURIF-S01</t>
  </si>
  <si>
    <t>Data/Input Failure</t>
  </si>
  <si>
    <t>Bowl Speed Sensor / Tachometer Signal Failure</t>
  </si>
  <si>
    <t>The bowl-speed sensor, tachometer cable, or EPC input can fail or give an intermittent signal because of cable damage, sensor damage, poor connection, or electrical noise. The separator may also run at incorrect speed because of motor/transmission faults while the indicated speed is wrong or unavailable.</t>
  </si>
  <si>
    <t>The control system may miss low bowl speed, overspeed, or excessive run-up time. Separation efficiency decreases because centrifugal force is reduced or the unit may trip unnecessarily.</t>
  </si>
  <si>
    <t>Contaminated FO/DO can reach service tanks and engines, increasing injector, pump, liner, and ring wear. In severe cases the purifier is unavailable and fuel cleaning capacity is lost.</t>
  </si>
  <si>
    <t>Check alarm history for bowl speed high/low/sensor error; compare panel speed with local tachometer; review run-up time and vibration trends.</t>
  </si>
  <si>
    <t>Inspect and secure speed sensor/cabling, test alarm channels, maintain motor/transmission parts, and verify speed after service work.</t>
  </si>
  <si>
    <t>Chief Engineer / Electrical Officer</t>
  </si>
  <si>
    <t>Alfa Laval S-type Separation System Alarms and Fault Finding, Book 1810573-02 (manual; hosted by University of Rijeka/PFRI)</t>
  </si>
  <si>
    <t>https://www.pfri.uniri.hr/web/dokumenti/uploads_nastava/20200604_111213_radonja_Separatori.pdf</t>
  </si>
  <si>
    <t>FODOPURIF-S02</t>
  </si>
  <si>
    <t>Feed Temperature Sensor / Temperature-Control Signal Fault</t>
  </si>
  <si>
    <t>The temperature sensor, heater control signal, or related wiring can drift, short/open-circuit, or lose proper thermal contact. This is especially critical for FO because viscosity and density are strongly temperature dependent.</t>
  </si>
  <si>
    <t>The purifier can operate with feed viscosity outside the intended range. Too-low temperature reduces separation efficiency and cat-fine removal; excessive heating can promote instability/sludge in susceptible fuels.</t>
  </si>
  <si>
    <t>Poor fuel cleaning can lead to water/solids carryover, clogged filters, poor combustion, injector wear, and reduced propulsion or generator reliability.</t>
  </si>
  <si>
    <t>Compare panel temperature with independent thermometer; check oil-feed temperature high/low alarms and heater fault/temperature sensor errors; trend separator inlet temperature.</t>
  </si>
  <si>
    <t>Calibrate/replace temperature sensors, keep heater controls tested, clean heater surfaces, and follow maker/CIMAC temperature guidance for the specific fuel grade.</t>
  </si>
  <si>
    <t>Alfa Laval S-type Separation System Alarms and Fault Finding, Book 1810573-02 (manual; hosted by University of Rijeka/PFRI); CIMAC WG7 Guideline 09/2024 v2, Design and operation of fuel cleaning systems for diesel engines</t>
  </si>
  <si>
    <t>https://www.pfri.uniri.hr/web/dokumenti/uploads_nastava/20200604_111213_radonja_Separatori.pdf
https://www.cimac.com/cms/upload/workinggroups/WG7/2024-09_v2_CIMAC_Design_and_operation_of_fuel_cleaning_systems_for_diesel_engines.pdf</t>
  </si>
  <si>
    <t>FODOPURIF-S03</t>
  </si>
  <si>
    <t>Feed Pressure / Feed Flow Sensor Fault</t>
  </si>
  <si>
    <t>Feed pressure/flow measurement can fail due to faulty PT1 sensor, clogged impulse line, sensor wiring fault, or unstable feed pump operation. False readings can also arise during start/stop or recirculation sequences.</t>
  </si>
  <si>
    <t>The purifier may not detect low feed, high feed, blocked flow, or excessive throughput. Automatic control may stop the unit or continue with inadequate fuel treatment.</t>
  </si>
  <si>
    <t>Fuel cleaning capacity may be lost or reduced, causing dirty fuel transfer to downstream tanks and engine fuel systems.</t>
  </si>
  <si>
    <t>Check alarms for feed pressure PT1 high/low/error and feed flow error during timers; compare with local pressure gauge and actual pump flow.</t>
  </si>
  <si>
    <t>Flush/inspect pressure lines, maintain PT1 sensor and wiring, service feed pump/strainers, and verify control-valve settings.</t>
  </si>
  <si>
    <t>FODOPURIF-S04</t>
  </si>
  <si>
    <t>Oil Backpressure / Water-Outlet Pressure Signal Fault</t>
  </si>
  <si>
    <t>Backpressure or water-outlet pressure transducers can drift, block, or fail electrically. Fouled lines, water/oil contamination, or cable/board faults can make PT4/PT5 values unreliable.</t>
  </si>
  <si>
    <t>Incorrect oil backpressure or water-outlet pressure feedback can mask loss of seal, outlet restriction, or wrong interface position. The separator can trip or discharge oil/water incorrectly.</t>
  </si>
  <si>
    <t>Undetected outlet-pressure deviations may cause fuel loss to sludge/water outlet, water carryover to clean fuel, or purifier shutdown.</t>
  </si>
  <si>
    <t>Cross-check PT4/PT5 with local gauges; inspect oil-backpressure and water-outlet high/low alarms and no-pressure/no-drain feedback alarms.</t>
  </si>
  <si>
    <t>Maintain pressure transmitters and impulse lines, clean outlet piping, test pressure alarms, and verify backpressure after maintenance.</t>
  </si>
  <si>
    <t>FODOPURIF-S05</t>
  </si>
  <si>
    <t>Sludge Tank Level / Drain Feedback Signal Failure</t>
  </si>
  <si>
    <t>The sludge tank level switch, float, drain-pump feedback, or wiring can stick or fail because of sludge deposits, oil contamination, or faulty switch contacts.</t>
  </si>
  <si>
    <t>The control system may not confirm that sludge/water has been drained after discharge. It may trigger false alarms or continue operation with poor sludge handling.</t>
  </si>
  <si>
    <t>Unremoved sludge can reduce separation efficiency, increase vibration, and overflow or contaminate bilge/sludge-handling systems.</t>
  </si>
  <si>
    <t>Check sludge tank high/no signal alarms, drain-pump operation, float movement, and the timing of discharge feedback after sludge discharge.</t>
  </si>
  <si>
    <t>Clean and function-test level switches and floats, maintain the drain pump, and verify tank emptying after discharge routines.</t>
  </si>
  <si>
    <t>FODOPURIF-N01</t>
  </si>
  <si>
    <t>Communication Failure</t>
  </si>
  <si>
    <t>EPC / Control-Board Communication Fault</t>
  </si>
  <si>
    <t>The separator EPC/control system can lose internal communication because of faulty computer communication board, operator panel board, transducer board, vibration board, bad connectors, or damaged cables.</t>
  </si>
  <si>
    <t>Automatic alarm display, command, and feedback functions become unavailable or unreliable. The separator can enter standby, stop, or require local/manual intervention.</t>
  </si>
  <si>
    <t>Fuel purification availability is reduced and faults may not be diagnosed promptly, increasing the risk of contaminated fuel delivery or operational delay.</t>
  </si>
  <si>
    <t>Review EPC alarm history for communication or board errors; inspect cables/connectors and check whether local operator panel or remote interface is in control.</t>
  </si>
  <si>
    <t>Secure board connectors, keep spare boards/modules where required, test communication alarms after maintenance, and follow maker board-replacement procedures.</t>
  </si>
  <si>
    <t>Electrical Officer / Automation Technician</t>
  </si>
  <si>
    <t>FODOPURIF-L01</t>
  </si>
  <si>
    <t>Software Anomaly</t>
  </si>
  <si>
    <t>Desludging / Bowl Discharge Sequence Failure</t>
  </si>
  <si>
    <t>The automatic discharge sequence can fail because operating/opening water is unavailable, strainers/nozzles are clogged, SV10/SV15 or other valves fail, hoses are incorrectly fitted, or discharge feedback is not received.</t>
  </si>
  <si>
    <t>The bowl may not open/close correctly, sludge may remain in the bowl, or the system may repeat discharge attempts and stop. Separation efficiency and mechanical balance deteriorate.</t>
  </si>
  <si>
    <t>Solids and water may pass downstream, fuel may be lost to sludge, and excessive vibration can force shutdown or damage the purifier.</t>
  </si>
  <si>
    <t>Check discharge feedback error, PT4/PT5 feedback, sludge discharge timing, operating-water pressure/flow, and whether speed decreases as expected during discharge.</t>
  </si>
  <si>
    <t>Clean operating-water strainers/nozzles, maintain discharge valves and water supply, verify hoses after overhaul, and test discharge sequence after service.</t>
  </si>
  <si>
    <t>Chief Engineer / Automation Technician</t>
  </si>
  <si>
    <t>FODOPURIF-L02</t>
  </si>
  <si>
    <t>Parameter Illegal / Defaulting / Wrong Setpoint Failure</t>
  </si>
  <si>
    <t>Control parameters can become illegal, out of range, reset to defaults, or incorrectly adjusted after electrical disturbance, board work, commissioning, or human error.</t>
  </si>
  <si>
    <t>Temperature, pressure, timing, discharge interval, and alarm limits may no longer match the fuel grade or separator configuration. The purifier may operate outside safe or effective cleaning limits.</t>
  </si>
  <si>
    <t>Incorrect fuel cleaning can persist unnoticed and increase risk of engine wear, sludge problems, or avoidable trips.</t>
  </si>
  <si>
    <t>Check parameter illegal/out-of-range alarms, compare EPC settings with commissioning sheets, and review recent maintenance or power events.</t>
  </si>
  <si>
    <t>Keep approved parameter backups, restrict changes to authorized engineers, verify settings after power/board events, and document changes.</t>
  </si>
  <si>
    <t>FODOPURIF-A01</t>
  </si>
  <si>
    <t>Actuation/Interface Failure</t>
  </si>
  <si>
    <t>Operating / Opening Water Supply or Solenoid Valve Failure</t>
  </si>
  <si>
    <t>Operating/opening water can be lost due to closed supply valves, clogged stra...</t>
  </si>
  <si>
    <t>The bowl may open unintentionally or fail to open during sludge discharge. Di...</t>
  </si>
  <si>
    <t>Fuel may be lost through unintended discharge, sludge accumulation may cause ...</t>
  </si>
  <si>
    <t>Check operating-water pressure/flow, SV15/opening-water function, strainer co...</t>
  </si>
  <si>
    <t>Clean strainers/nozzles, maintain solenoids and water valves, verify correct ...</t>
  </si>
  <si>
    <t>Chief Engineer / 2nd Engineer</t>
  </si>
  <si>
    <t>Alfa Laval S-type Separation System Alarms and Fault Finding, Book 1810573-02...</t>
  </si>
  <si>
    <t>FODOPURIF-A02</t>
  </si>
  <si>
    <t>Sealing / Closing / Displacement Water Failure</t>
  </si>
  <si>
    <t>Sealing or closing water may be insufficient because of low water pressure, c...</t>
  </si>
  <si>
    <t>The water seal may break or the bowl may not close properly. Fuel can escape ...</t>
  </si>
  <si>
    <t>Clean fuel is lost, water/fuel separation becomes unstable, and engine fuel s...</t>
  </si>
  <si>
    <t>Observe oil leaking from bowl/broken water seal symptoms, check sealing-water...</t>
  </si>
  <si>
    <t>Maintain water supply pressure, clean strainers, renew seal rings/valve plugs...</t>
  </si>
  <si>
    <t>FODOPURIF-A03</t>
  </si>
  <si>
    <t>Feed / Recirculation / Backpressure Valve Malfunction</t>
  </si>
  <si>
    <t>Feed, change-over/recirculation, and backpressure valves can stick, be misadj...</t>
  </si>
  <si>
    <t>Flow, residence time, and pressure balance are disturbed. Excessive or insuff...</t>
  </si>
  <si>
    <t>The fuel service tank may receive incompletely cleaned fuel or the purifier m...</t>
  </si>
  <si>
    <t>Check feed pressure/flow alarms, valve position feedback, recirculation valve...</t>
  </si>
  <si>
    <t>Exercise and clean valves, maintain actuator air/solenoids, calibrate backpre...</t>
  </si>
  <si>
    <t>FODOPURIF-P01</t>
  </si>
  <si>
    <t>Process/Mechanical Failure</t>
  </si>
  <si>
    <t>Disc Stack / Sludge-Space Fouling</t>
  </si>
  <si>
    <t>Fuel sludge, catalytic fines, asphaltenes, wax, rust, and tank-bottom sedimen...</t>
  </si>
  <si>
    <t>Flow paths through the disc stack are restricted and separation efficiency fa...</t>
  </si>
  <si>
    <t>Water, solids, and cat fines can pass to service tanks and engines, causing f...</t>
  </si>
  <si>
    <t>Trend differential pressure/flow, frequency of sludge discharges, vibration, ...</t>
  </si>
  <si>
    <t>Shorten discharge intervals for dirty fuels, clean bowl/disc stack, monitor f...</t>
  </si>
  <si>
    <t>FODOPURIF-P02</t>
  </si>
  <si>
    <t>Incorrect Separation Temperature / High-Viscosity Feed</t>
  </si>
  <si>
    <t>Fuel may enter the purifier too cold because of heater failure, wrong tempera...</t>
  </si>
  <si>
    <t>Settling velocity and separation efficiency decrease; water, sludge, and fine...</t>
  </si>
  <si>
    <t>Fuel pumps, injectors, nozzles, piston rings, and liners can be exposed to ab...</t>
  </si>
  <si>
    <t>Check separator inlet temperature, heater fault alarms, fuel viscosity/temper...</t>
  </si>
  <si>
    <t>Maintain heater capacity and controls, follow separator-maker and CIMAC tempe...</t>
  </si>
  <si>
    <t>FODOPURIF-P03</t>
  </si>
  <si>
    <t>Excessive Throughput / Insufficient Residence Time</t>
  </si>
  <si>
    <t>The purifier may be operated above effective cleaning capacity because of exc...</t>
  </si>
  <si>
    <t>Residence time in the bowl is reduced and fine particles/water are not fully ...</t>
  </si>
  <si>
    <t>Abrasive particles and water can pass to engines, increasing filter load, fue...</t>
  </si>
  <si>
    <t>Compare actual feed rate with separator rating and engine consumption; check ...</t>
  </si>
  <si>
    <t>Reduce feed to match effective cleaning requirement, use parallel/series arra...</t>
  </si>
  <si>
    <t>FODOPURIF-P04</t>
  </si>
  <si>
    <t>Gravity Disc Mis-selection / Gravity-Disc Seal Failure</t>
  </si>
  <si>
    <t>The wrong gravity-disc diameter or a defective gravity-disc seal shifts the o...</t>
  </si>
  <si>
    <t>Water may carry over with clean fuel, or oil may discharge through the water ...</t>
  </si>
  <si>
    <t>Fuel loss, water contamination of service fuel, filter clogging, and engine f...</t>
  </si>
  <si>
    <t>Check water outlet for oil contamination, clean fuel for water, oil leaking f...</t>
  </si>
  <si>
    <t>Select gravity disc for the actual fuel density/temperature, inspect gravity-...</t>
  </si>
  <si>
    <t>Alfa Laval MAB 206S-24 Separator Manual, Rev. 2 (official Alfa Laval manual)</t>
  </si>
  <si>
    <t>https://assets.alfalaval.com/documents/pc904f98d/alfa-laval-mab-206-881240-22-15-rev2.pdf</t>
  </si>
  <si>
    <t>FODOPURIF-P05</t>
  </si>
  <si>
    <t>Broken Water Seal / Fuel Leaking From Bowl</t>
  </si>
  <si>
    <t>The water seal can break due to too-large gravity disc, low separation temper...</t>
  </si>
  <si>
    <t>Fuel escapes through the water/sludge outlet and the separator cannot maintai...</t>
  </si>
  <si>
    <t>Fuel wastage, contaminated clean-fuel supply, environmental/sludge handling i...</t>
  </si>
  <si>
    <t>Watch for oil leaking from bowl, abnormal water outlet condition, broken wate...</t>
  </si>
  <si>
    <t>Ensure correct gravity disc, adequate sealing water, correct temperature/thro...</t>
  </si>
  <si>
    <t>FODOPURIF-P06</t>
  </si>
  <si>
    <t>High Water / Emulsified Water in Dirty Fuel Feed</t>
  </si>
  <si>
    <t>Fuel can contain fresh/saline or emulsified water from bunkering, condensation, leaking heating coils, tank bottoms, or sea-water ingress. Emulsified water is harder to separate than free water.</t>
  </si>
  <si>
    <t>The purifier water outlet and water seal can be overloaded; water removal becomes less reliable, and filter/separator alarms may increase.</t>
  </si>
  <si>
    <t>Unremoved water lowers fuel energy content and can cause corrosion, injection problems, fouling, poor combustion, and engine reliability issues.</t>
  </si>
  <si>
    <t>Review bunker analysis and drain settling/service tanks; check water content before/after separator, water-outlet alarms, and water/sludge discharge frequency.</t>
  </si>
  <si>
    <t>Apply fuel sampling, water draining, tank cleaning, correct separator temperature/flow, and increased monitoring after bunkering or heavy weather.</t>
  </si>
  <si>
    <t>CIMAC WG7 Guideline 09/2024 v2, Design and operation of fuel cleaning systems for diesel engines</t>
  </si>
  <si>
    <t>https://www.cimac.com/cms/upload/workinggroups/WG7/2024-09_v2_CIMAC_Design_and_operation_of_fuel_cleaning_systems_for_diesel_engines.pdf</t>
  </si>
  <si>
    <t>FODOPURIF-P07</t>
  </si>
  <si>
    <t>Catalytic Fines Carryover / Insufficient Al+Si Removal</t>
  </si>
  <si>
    <t>Cat fines can remain after purification when bunkered fuel has high Al+Si, feed temperature is too low, flow is too high, separators are fouled, or cleaning arrangement is unsuitable for the fuel quality.</t>
  </si>
  <si>
    <t>Abrasive aluminium/silicon particles pass through the fuel treatment system and reach the engine fuel pumps, injectors, piston rings, and liners.</t>
  </si>
  <si>
    <t>Rapid abrasive wear, poor combustion, liner/ring damage, and loss of engine reliability or power can occur.</t>
  </si>
  <si>
    <t>Compare bunker, before-separator, after-separator, and engine-inlet Al+Si samples; monitor 10 µm filter condition and abnormal engine wear indicators.</t>
  </si>
  <si>
    <t>Run separators at high enough temperature and low enough flow, use parallel/series operation where needed, sample after separator/engine inlet, and keep tanks clean.</t>
  </si>
  <si>
    <t>CIMAC WG7 Guideline 09/2024 v2, Design and operation of fuel cleaning systems for diesel engines; MAN Energy Solutions Service Letter SL2017-638/DOJA, Cleaning of Heavy Fuel Oil and Maximum 0.10% Sulphur Fuels</t>
  </si>
  <si>
    <t>https://www.cimac.com/cms/upload/workinggroups/WG7/2024-09_v2_CIMAC_Design_and_operation_of_fuel_cleaning_systems_for_diesel_engines.pdf
https://www.man-es.com/docs/default-source/service-letters/sl2017-638.pdf?sfvrsn=607695b4_4</t>
  </si>
  <si>
    <t>FODOPURIF-P08</t>
  </si>
  <si>
    <t>Fuel Instability / Asphaltene Sludge Formation</t>
  </si>
  <si>
    <t>Residual and VLSFO blends can become unstable because of incompatible fuel mixing, long storage, repeated heating, or thermal/physical stress in recirculation. Asphaltenes can precipitate into sticky sludge.</t>
  </si>
  <si>
    <t>Separator sludge volume increases, the bowl/disc stack fouls rapidly, and discharge intervals become insufficient. Filters and lines may also block.</t>
  </si>
  <si>
    <t>Fuel treatment can become unable to supply clean fuel, causing purifier shutdown, filter blockage, engine derating, or propulsion/generator reliability problems.</t>
  </si>
  <si>
    <t>Monitor separator sludge rate/appearance, fuel compatibility tests, TSP/total sediment results, filter clogging, and sudden increase in discharge frequency.</t>
  </si>
  <si>
    <t>Avoid mixing untested batches, reduce discharge interval for high-sludge fuels, avoid prolonged high-temperature storage, and stop using unmanageable fuels where required.</t>
  </si>
  <si>
    <t>FODOPURIF-P09</t>
  </si>
  <si>
    <t>Wax / Cold-Flow Sludge Blockage in FO/DO Treatment</t>
  </si>
  <si>
    <t>Paraffinic or low-sulphur fuels can form wax when temperature falls below relevant cold-flow limits. Wax/sludge can accumulate in tanks, filters, pipelines, and separators.</t>
  </si>
  <si>
    <t>Feed to the purifier becomes restricted or the bowl/disc stack becomes fouled. Separation and transfer may become unstable or impossible.</t>
  </si>
  <si>
    <t>Fuel starvation, blocked filters/separators, purifier trip, and possible engine shutdown can occur.</t>
  </si>
  <si>
    <t>Check storage/settling/separator inlet temperature against pour point, WAT/WDT where available; watch filter differential pressure and feed-flow alarms.</t>
  </si>
  <si>
    <t>Keep fuel above cold-flow limits, heat tanks/filters/pipes where required, avoid cooling below wax-formation temperature, and manage distillate/low-viscosity fuels carefully.</t>
  </si>
  <si>
    <t>FODOPURIF-P10</t>
  </si>
  <si>
    <t>Wrong Purifier / Clarifier Configuration for Water-Containing Fuel</t>
  </si>
  <si>
    <t>The separator may be assembled or operated in clarifier mode when the feed contains water, or the clarifier disc/gravity disc arrangement may be inappropriate for the intended duty.</t>
  </si>
  <si>
    <t>Water separation is not achieved because clarifier operation is intended for solids removal and lacks normal water outlet/liquid-seal operation. Water can pass with the clean fuel.</t>
  </si>
  <si>
    <t>Water-contaminated fuel can cause corrosion, injection problems, poor combustion, and engine operational disturbances.</t>
  </si>
  <si>
    <t>Check bowl configuration after overhaul, verify gravity/clarifier disc selection, sample clean fuel for water, and monitor water outlet behavior.</t>
  </si>
  <si>
    <t>Confirm intended mode before operation, use purifier configuration for water-containing fuel, and follow maker assembly instructions after bowl service.</t>
  </si>
  <si>
    <t>FODOPURIF-M01</t>
  </si>
  <si>
    <t>Bowl Imbalance / Excessive Vibration</t>
  </si>
  <si>
    <t>Uneven sludge deposits, incorrect bowl assembly, mixed/wrong parts, incorrect disc-stack compression, poor cleaning, paring-disc height error, worn bearings, bent spindle, or worn frame feet can create imbalance.</t>
  </si>
  <si>
    <t>The separator vibrates excessively and may trip on vibration warning/shutdown. Continued operation risks bearing damage, mechanical wear, or bowl disintegration hazard.</t>
  </si>
  <si>
    <t>Fuel purification is interrupted; severe mechanical failure can endanger crew and damage machinery, with consequent loss of fuel-treatment redundancy.</t>
  </si>
  <si>
    <t>Monitor vibration level and vibration shutdown/warning alarms; inspect bowl cleanliness, assembly marks, bearing condition, and sludge distribution.</t>
  </si>
  <si>
    <t>Clean and assemble bowl correctly, never mix bowl parts, maintain bearings/frame feet, and perform vibration checks after overhaul.</t>
  </si>
  <si>
    <t>Alfa Laval S-type Separation System Alarms and Fault Finding, Book 1810573-02 (manual; hosted by University of Rijeka/PFRI); Alfa Laval MAB 206S-24 Separator Manual, Rev. 2 (official Alfa Laval manual); Ayvaz &amp; Karakurt (2025), Examination of failures in the marine fuel and lube oil separators through the fuzzy DEMATEL method, Journal of ETA Maritime Science</t>
  </si>
  <si>
    <t>https://www.pfri.uniri.hr/web/dokumenti/uploads_nastava/20200604_111213_radonja_Separatori.pdf
https://assets.alfalaval.com/documents/pc904f98d/alfa-laval-mab-206-881240-22-15-rev2.pdf
https://jemsjournal.org/pdf/17d041fe-057c-4c8e-a75d-948e33c0152a/articles/jems.2025.33341/36-45.pdf</t>
  </si>
  <si>
    <t>FODOPURIF-M02</t>
  </si>
  <si>
    <t>Bowl Spindle / Shaft Bending</t>
  </si>
  <si>
    <t>The vertical spindle/shaft can bend because of severe vibration, incorrect assembly, bearing failure, mechanical shock, or operation after an unresolved imbalance.</t>
  </si>
  <si>
    <t>The bowl runs eccentrically, causing high vibration, noise, seal/interface instability, and increased bearing load.</t>
  </si>
  <si>
    <t>The purifier may shut down or suffer major mechanical damage, reducing fuel-cleaning availability and posing safety risk.</t>
  </si>
  <si>
    <t>Check vibration alarms, abnormal noise, runout during inspection, and repeated vibration after cleaning/assembly correction.</t>
  </si>
  <si>
    <t>Stop after excessive vibration, identify root cause before restart, renew bent spindle/shaft, and follow maker overhaul procedures.</t>
  </si>
  <si>
    <t>Alfa Laval S-type Separation System Alarms and Fault Finding, Book 1810573-02 (manual; hosted by University of Rijeka/PFRI); Ayvaz &amp; Karakurt (2025), Examination of failures in the marine fuel and lube oil separators through the fuzzy DEMATEL method, Journal of ETA Maritime Science</t>
  </si>
  <si>
    <t>https://www.pfri.uniri.hr/web/dokumenti/uploads_nastava/20200604_111213_radonja_Separatori.pdf
https://jemsjournal.org/pdf/17d041fe-057c-4c8e-a75d-948e33c0152a/articles/jems.2025.33341/36-45.pdf</t>
  </si>
  <si>
    <t>FODOPURIF-M03</t>
  </si>
  <si>
    <t>Bowl Spindle / Drive Bearing Wear or Overheating</t>
  </si>
  <si>
    <t>Bearings can wear or overheat due to age, contamination, incorrect assembly, inadequate lubrication, excessive vibration, misalignment, or operation beyond maintenance interval.</t>
  </si>
  <si>
    <t>Noise, vibration, low speed, longer run-up time, and increased mechanical load occur. Bearing failure can damage the spindle, drive, and bowl support.</t>
  </si>
  <si>
    <t>Purifier shutdown or major repair may be required, reducing fuel-cleaning redundancy and risking contaminated fuel supply.</t>
  </si>
  <si>
    <t>Trend vibration/noise, bearing temperature where available, run-up time, speed stability, and oil condition in gear/worm housing.</t>
  </si>
  <si>
    <t>Replace bearings at maker intervals, keep bearing handling clean, maintain lubrication, and correct vibration causes before restart.</t>
  </si>
  <si>
    <t>FODOPURIF-M04</t>
  </si>
  <si>
    <t>Frame Feet / Spindle Top-Bearing Spring Deterioration</t>
  </si>
  <si>
    <t>Elastomer frame feet, buffer components, or top-bearing springs can wear, harden, break, or lose damping due to age, vibration, and heat.</t>
  </si>
  <si>
    <t>Vibration isolation and spindle support degrade, increasing transmitted vibration and risk of high-vibration shutdown.</t>
  </si>
  <si>
    <t>Purifier reliability decreases and unresolved vibration can lead to bearing/spindle damage or unsafe operation.</t>
  </si>
  <si>
    <t>Inspect frame feet, buffers, top-bearing spring condition, vibration alarms, and changes in vibration after bowl cleaning.</t>
  </si>
  <si>
    <t>Renew frame feet/springs at service intervals, avoid restarting after high vibration without root-cause correction, and verify vibration after replacement.</t>
  </si>
  <si>
    <t>FODOPURIF-M05</t>
  </si>
  <si>
    <t>Bowl Casing Drain Obstruction / Water in Gear-Housing Oil Sump</t>
  </si>
  <si>
    <t>The bowl casing drain can become obstructed by sludge or deposits, or water can enter the oil sump because of leakage at the top bearing or condensation.</t>
  </si>
  <si>
    <t>Water contaminates the separator gear/worm housing oil, reducing lubrication quality and promoting corrosion/wear.</t>
  </si>
  <si>
    <t>Drive components and bearings can suffer accelerated wear, leading to vibration, low speed, and purifier failure.</t>
  </si>
  <si>
    <t>Inspect drain lines, check oil sump/worm gear housing for water, emulsified oil, or level changes, and monitor bearing/drive noise.</t>
  </si>
  <si>
    <t>Clean bowl casing drain, change contaminated oil, repair top-bearing seal leakage, and control condensation during maintenance.</t>
  </si>
  <si>
    <t>FODOPURIF-H01</t>
  </si>
  <si>
    <t>Hardware Failure</t>
  </si>
  <si>
    <t>Drive Motor / Power Supply / Pump Starter Failure</t>
  </si>
  <si>
    <t>Electrical supply loss, motor fault, starter/contactor feedback failure, or pump starter failure can prevent the separator or feed pump from starting/running.</t>
  </si>
  <si>
    <t>The bowl cannot reach operating speed or feed cannot be supplied. The purifier trips, remains in standby, or loses fuel-cleaning function.</t>
  </si>
  <si>
    <t>Loss of fuel purification can force operation on standby unit, reduce redundancy, or expose engines to insufficiently treated fuel if bypassed.</t>
  </si>
  <si>
    <t>Check power failure, separator motor failure, pump starter failure, contactor feedback, current draw, and run-up time alarms.</t>
  </si>
  <si>
    <t>Maintain motor starters/contactors, test emergency stop and power-failure recovery, inspect cables, and keep spare critical electrical components.</t>
  </si>
  <si>
    <t>Alfa Laval S-type Separation System Alarms and Fault Finding, Book 1810573-02 (manual; hosted by University of Rijeka/PFRI); Alfa Laval MAB 206S-24 Separator Manual, Rev. 2 (official Alfa Laval manual)</t>
  </si>
  <si>
    <t>https://www.pfri.uniri.hr/web/dokumenti/uploads_nastava/20200604_111213_radonja_Separatori.pdf
https://assets.alfalaval.com/documents/pc904f98d/alfa-laval-mab-206-881240-22-15-rev2.pdf</t>
  </si>
  <si>
    <t>FODOPURIF-H02</t>
  </si>
  <si>
    <t>Belt / Coupling / Friction Pad Slipping or Wear</t>
  </si>
  <si>
    <t>Drive belt, coupling pads, or friction pads can become worn, oily, loose, or incorrectly assembled. This reduces torque transmission during run-up and operation.</t>
  </si>
  <si>
    <t>The bowl speed may be too low or run-up too long. Separation efficiency falls and the unit may alarm or trip.</t>
  </si>
  <si>
    <t>Fuel treatment capacity is lost or degraded, allowing water/solids/cat fines to remain in fuel.</t>
  </si>
  <si>
    <t>Check run-up time, low bowl speed alarm, belt/coupling inspection, friction pad condition, and motor current.</t>
  </si>
  <si>
    <t>Inspect and renew belts/pads at maintenance intervals, keep friction surfaces oil-free, and verify correct tension/assembly.</t>
  </si>
  <si>
    <t>FODOPURIF-H03</t>
  </si>
  <si>
    <t>Incorrect Power Frequency / Transmission Parts / Rotation Direction</t>
  </si>
  <si>
    <t>Incorrect 50/60 Hz transmission parts, wrong power frequency, or wrong motor phase sequence can make the bowl rotate at wrong speed or in the wrong direction.</t>
  </si>
  <si>
    <t>Centrifugal force and flow path are incorrect, causing poor separation, speed alarms, or unsafe operation.</t>
  </si>
  <si>
    <t>Contaminated fuel may reach engines, and wrong rotation/speed can create serious mechanical risk.</t>
  </si>
  <si>
    <t>Check bowl speed high/low, phase sequence/rotation direction after electrical work, nameplate frequency, and installed transmission parts.</t>
  </si>
  <si>
    <t>Verify frequency-specific transmission parts, check motor rotation after wiring work, and follow commissioning checks after motor/gear service.</t>
  </si>
  <si>
    <t>FODOPURIF-H04</t>
  </si>
  <si>
    <t>Heater Failure / Fouling / Heater-Control Fault</t>
  </si>
  <si>
    <t>Steam/electric heater elements, steam supply, triacs/boards, fuses/contactors, control wiring, or heater surfaces can fail or foul. Fuel changeover can also leave heating setpoints unsuitable.</t>
  </si>
  <si>
    <t>FO viscosity remains too high or temperature becomes unstable. Separation efficiency drops and cat-fine/water removal becomes inadequate.</t>
  </si>
  <si>
    <t>Downstream filters and engine injection equipment are exposed to contaminated/high-viscosity fuel, reducing reliability.</t>
  </si>
  <si>
    <t>Check heater fault/board/connection alarms, steam/electric heater operation, inlet temperature stability, and fuel viscosity records.</t>
  </si>
  <si>
    <t>Clean heater, maintain steam traps/electric heaters and controls, verify setpoints for each fuel grade, and confirm 98°C-class treatment where required for high-viscosity fuels.</t>
  </si>
  <si>
    <t>Alfa Laval S-type Separation System Alarms and Fault Finding, Book 1810573-02 (manual; hosted by University of Rijeka/PFRI); CIMAC WG7 Guideline 09/2024 v2, Design and operation of fuel cleaning systems for diesel engines; MAN Energy Solutions Service Letter SL2017-638/DOJA, Cleaning of Heavy Fuel Oil and Maximum 0.10% Sulphur Fuels</t>
  </si>
  <si>
    <t>https://www.pfri.uniri.hr/web/dokumenti/uploads_nastava/20200604_111213_radonja_Separatori.pdf
https://www.cimac.com/cms/upload/workinggroups/WG7/2024-09_v2_CIMAC_Design_and_operation_of_fuel_cleaning_systems_for_diesel_engines.pdf
https://www.man-es.com/docs/default-source/service-letters/sl2017-638.pdf?sfvrsn=607695b4_4</t>
  </si>
  <si>
    <t>FODOPURIF-H05</t>
  </si>
  <si>
    <t>Feed Pump / Low Feed Pressure or Flow Failure</t>
  </si>
  <si>
    <t>The feed pump, suction strainers, piping, or pump starter can fail, clog, air-lock, or lose capacity. The recirculation/change-over arrangement can also restrict feed to the separator.</t>
  </si>
  <si>
    <t>Insufficient feed pressure/flow prevents steady purifier operation, creates feed alarms, and reduces clean-fuel transfer rate to service tanks.</t>
  </si>
  <si>
    <t>The ship may lose fuel-cleaning capacity, filters may clog, and untreated or poorly treated fuel may be used if operation is bypassed.</t>
  </si>
  <si>
    <t>Check feed pressure low/flow error, pump starter alarms, pump suction strainers, local pressure gauges, and actual transfer rate.</t>
  </si>
  <si>
    <t>Maintain feed pump, clean strainers, verify recirculation/change-over valve positions, and test standby pump/separator arrangements.</t>
  </si>
  <si>
    <t>FODOPURIF-S06</t>
  </si>
  <si>
    <t>Water-in-Fuel / Density-Transducer Signal Fault</t>
  </si>
  <si>
    <t>The water/density monitoring input, transducer board, MT monitor, associated cable/board, or density/water threshold can fail, foul, or be mis-set. In FO/DO purification this may hide abnormal water content or generate false water/drain alarms.</t>
  </si>
  <si>
    <t>The purifier may fail to detect high water content, may drain too often, or may trip/recirculate unnecessarily. Interface control and water-drain actions can become unreliable.</t>
  </si>
  <si>
    <t>Water-contaminated FO/DO may reach settling/service tanks and downstream engine systems, causing poor combustion, corrosion risk, filter clogging, injector/pump wear, or loss of fuel-cleaning capacity.</t>
  </si>
  <si>
    <t>Check transducer value high/low/no-response alarms, MT50 board alarms, water drain insufficient, frequent draining, and compare purifier alarms with tank water draw-off/lab or onboard water-in-fuel checks.</t>
  </si>
  <si>
    <t>Clean/inspect the MT monitor and transducer connections, verify water/density alarm limits after fuel changeover, maintain water-drain valves, and validate water-in-fuel measurements against manual sampling.</t>
  </si>
  <si>
    <t>FODOPURIF-C01</t>
  </si>
  <si>
    <t>Cyber Security Threat</t>
  </si>
  <si>
    <t>Unauthorized Purifier Temperature or Throughput Setpoint Change</t>
  </si>
  <si>
    <t>Unauthorized, erroneous, or poorly controlled OT/CBS access changes purifier temperature, throughput, alarm, or control parameters outside the approved fuel-treatment setup.</t>
  </si>
  <si>
    <t>The purifier may run too cold, at excessive flow, or with unsuitable alarm/control limits, reducing water, sludge, and catalytic-fine removal.</t>
  </si>
  <si>
    <t>Contaminated fuel can pass to engines, causing filter clogging, injector/pump wear, liner and ring wear, loss of redundancy, or propulsion/generator reliability reduction.</t>
  </si>
  <si>
    <t>Audit EPC/PLC parameter changes, compare active settings with approved fuel-treatment settings, review alarm/event logs after remote access, and trend temperature/flow deviations from normal operating profile.</t>
  </si>
  <si>
    <t>Restrict and log OT access, apply role-based control, maintain approved parameter baselines, verify settings after fuel changeover/maintenance, and include purifier controls in maritime cyber-risk management.</t>
  </si>
  <si>
    <t>Company IT/OT Security Officer + Chief Engineer</t>
  </si>
  <si>
    <t>IMO MSC-FAL.1/Circ.3/Rev.3 Guidelines on Maritime Cyber Risk Management; IACS UR E27 Rev.1, Cyber resilience of on-board systems and equipment</t>
  </si>
  <si>
    <t>https://wwwcdn.imo.org/localresources/en/OurWork/Security/Documents/MSC-FAL.1-Circ.3-Rev.3.pdf
https://iacs.s3.af-south-1.amazonaws.com/wp-content/uploads/2022/05/29103854/UR-E27-Rev.1-Sep-2023-UL.pdf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</si>
</sst>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10"/>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1" fontId="2"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DOPurifierFMs" displayName="FODOPurifierFMs" ref="A1:N34">
  <tableColumns count="14">
    <tableColumn id="1" xr3:uid="{00000000-0010-0000-0000-000001000000}" name="FM ID"/>
    <tableColumn id="2" xr3:uid="{00000000-0010-0000-0000-000002000000}" name="FM Class"/>
    <tableColumn id="3" xr3:uid="{00000000-0010-0000-0000-000003000000}" name="Failure Mode (FM)"/>
    <tableColumn id="4" xr3:uid="{00000000-0010-0000-0000-000004000000}" name="Potential Causes &amp; Mechanism(s) of the FM"/>
    <tableColumn id="5" xr3:uid="{00000000-0010-0000-0000-000005000000}" name="Potential Technical Effects of the FM"/>
    <tableColumn id="6" xr3:uid="{00000000-0010-0000-0000-000006000000}" name="Potential Consequences of the FM"/>
    <tableColumn id="7" xr3:uid="{00000000-0010-0000-0000-000007000000}" name="Severity (1-10)"/>
    <tableColumn id="8" xr3:uid="{00000000-0010-0000-0000-000008000000}" name="Probability (1-10)"/>
    <tableColumn id="9" xr3:uid="{00000000-0010-0000-0000-000009000000}" name="RPN (S x P)"/>
    <tableColumn id="10" xr3:uid="{00000000-0010-0000-0000-00000A000000}" name="Detective Controls"/>
    <tableColumn id="11" xr3:uid="{00000000-0010-0000-0000-00000B000000}" name="Preventive Controls"/>
    <tableColumn id="12" xr3:uid="{00000000-0010-0000-0000-00000C000000}" name="Responsibility"/>
    <tableColumn id="13" xr3:uid="{00000000-0010-0000-0000-00000D000000}" name="Source"/>
    <tableColumn id="14" xr3:uid="{00000000-0010-0000-0000-00000E000000}" name="Link"/>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tabSelected="1" topLeftCell="A26" workbookViewId="0">
      <selection activeCell="D27" sqref="D27"/>
    </sheetView>
  </sheetViews>
  <sheetFormatPr defaultRowHeight="15"/>
  <cols>
    <col min="1" max="1" width="14" customWidth="1"/>
    <col min="2" max="2" width="20" customWidth="1"/>
    <col min="3" max="3" width="28" customWidth="1"/>
    <col min="4" max="6" width="42" customWidth="1"/>
    <col min="7" max="7" width="12" customWidth="1"/>
    <col min="8" max="8" width="14" customWidth="1"/>
    <col min="9" max="9" width="11" customWidth="1"/>
    <col min="10" max="11" width="38" customWidth="1"/>
    <col min="12" max="12" width="24" customWidth="1"/>
    <col min="13" max="13" width="36" customWidth="1"/>
    <col min="14" max="14" width="55" customWidth="1"/>
  </cols>
  <sheetData>
    <row r="1" spans="1:14" ht="36"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6.5">
      <c r="A2" s="2" t="s">
        <v>14</v>
      </c>
      <c r="B2" s="2" t="s">
        <v>15</v>
      </c>
      <c r="C2" s="2" t="s">
        <v>16</v>
      </c>
      <c r="D2" s="2" t="s">
        <v>17</v>
      </c>
      <c r="E2" s="2" t="s">
        <v>18</v>
      </c>
      <c r="F2" s="2" t="s">
        <v>19</v>
      </c>
      <c r="G2" s="3">
        <v>7</v>
      </c>
      <c r="H2" s="3">
        <v>3</v>
      </c>
      <c r="I2" s="3">
        <f t="shared" ref="I2:I34" si="0">G2*H2</f>
        <v>21</v>
      </c>
      <c r="J2" s="2" t="s">
        <v>20</v>
      </c>
      <c r="K2" s="2" t="s">
        <v>21</v>
      </c>
      <c r="L2" s="2" t="s">
        <v>22</v>
      </c>
      <c r="M2" s="2" t="s">
        <v>23</v>
      </c>
      <c r="N2" s="2" t="s">
        <v>24</v>
      </c>
    </row>
    <row r="3" spans="1:14" ht="63.75">
      <c r="A3" s="2" t="s">
        <v>25</v>
      </c>
      <c r="B3" s="2" t="s">
        <v>15</v>
      </c>
      <c r="C3" s="2" t="s">
        <v>26</v>
      </c>
      <c r="D3" s="2" t="s">
        <v>27</v>
      </c>
      <c r="E3" s="2" t="s">
        <v>28</v>
      </c>
      <c r="F3" s="2" t="s">
        <v>29</v>
      </c>
      <c r="G3" s="3">
        <v>8</v>
      </c>
      <c r="H3" s="3">
        <v>4</v>
      </c>
      <c r="I3" s="3">
        <f t="shared" si="0"/>
        <v>32</v>
      </c>
      <c r="J3" s="2" t="s">
        <v>30</v>
      </c>
      <c r="K3" s="2" t="s">
        <v>31</v>
      </c>
      <c r="L3" s="2" t="s">
        <v>22</v>
      </c>
      <c r="M3" s="2" t="s">
        <v>32</v>
      </c>
      <c r="N3" s="2" t="s">
        <v>33</v>
      </c>
    </row>
    <row r="4" spans="1:14" ht="51">
      <c r="A4" s="2" t="s">
        <v>34</v>
      </c>
      <c r="B4" s="2" t="s">
        <v>15</v>
      </c>
      <c r="C4" s="2" t="s">
        <v>35</v>
      </c>
      <c r="D4" s="2" t="s">
        <v>36</v>
      </c>
      <c r="E4" s="2" t="s">
        <v>37</v>
      </c>
      <c r="F4" s="2" t="s">
        <v>38</v>
      </c>
      <c r="G4" s="3">
        <v>7</v>
      </c>
      <c r="H4" s="3">
        <v>3</v>
      </c>
      <c r="I4" s="3">
        <f t="shared" si="0"/>
        <v>21</v>
      </c>
      <c r="J4" s="2" t="s">
        <v>39</v>
      </c>
      <c r="K4" s="2" t="s">
        <v>40</v>
      </c>
      <c r="L4" s="2" t="s">
        <v>22</v>
      </c>
      <c r="M4" s="2" t="s">
        <v>23</v>
      </c>
      <c r="N4" s="2" t="s">
        <v>24</v>
      </c>
    </row>
    <row r="5" spans="1:14" ht="51">
      <c r="A5" s="2" t="s">
        <v>41</v>
      </c>
      <c r="B5" s="2" t="s">
        <v>15</v>
      </c>
      <c r="C5" s="2" t="s">
        <v>42</v>
      </c>
      <c r="D5" s="2" t="s">
        <v>43</v>
      </c>
      <c r="E5" s="2" t="s">
        <v>44</v>
      </c>
      <c r="F5" s="2" t="s">
        <v>45</v>
      </c>
      <c r="G5" s="3">
        <v>8</v>
      </c>
      <c r="H5" s="3">
        <v>4</v>
      </c>
      <c r="I5" s="3">
        <f t="shared" si="0"/>
        <v>32</v>
      </c>
      <c r="J5" s="2" t="s">
        <v>46</v>
      </c>
      <c r="K5" s="2" t="s">
        <v>47</v>
      </c>
      <c r="L5" s="2" t="s">
        <v>22</v>
      </c>
      <c r="M5" s="2" t="s">
        <v>23</v>
      </c>
      <c r="N5" s="2" t="s">
        <v>24</v>
      </c>
    </row>
    <row r="6" spans="1:14" ht="38.25">
      <c r="A6" s="2" t="s">
        <v>48</v>
      </c>
      <c r="B6" s="2" t="s">
        <v>15</v>
      </c>
      <c r="C6" s="2" t="s">
        <v>49</v>
      </c>
      <c r="D6" s="2" t="s">
        <v>50</v>
      </c>
      <c r="E6" s="2" t="s">
        <v>51</v>
      </c>
      <c r="F6" s="2" t="s">
        <v>52</v>
      </c>
      <c r="G6" s="3">
        <v>8</v>
      </c>
      <c r="H6" s="3">
        <v>5</v>
      </c>
      <c r="I6" s="3">
        <f t="shared" si="0"/>
        <v>40</v>
      </c>
      <c r="J6" s="2" t="s">
        <v>53</v>
      </c>
      <c r="K6" s="2" t="s">
        <v>54</v>
      </c>
      <c r="L6" s="2" t="s">
        <v>22</v>
      </c>
      <c r="M6" s="2" t="s">
        <v>23</v>
      </c>
      <c r="N6" s="2" t="s">
        <v>24</v>
      </c>
    </row>
    <row r="7" spans="1:14" ht="51">
      <c r="A7" s="2" t="s">
        <v>55</v>
      </c>
      <c r="B7" s="2" t="s">
        <v>56</v>
      </c>
      <c r="C7" s="2" t="s">
        <v>57</v>
      </c>
      <c r="D7" s="2" t="s">
        <v>58</v>
      </c>
      <c r="E7" s="2" t="s">
        <v>59</v>
      </c>
      <c r="F7" s="2" t="s">
        <v>60</v>
      </c>
      <c r="G7" s="3">
        <v>7</v>
      </c>
      <c r="H7" s="3">
        <v>3</v>
      </c>
      <c r="I7" s="3">
        <f t="shared" si="0"/>
        <v>21</v>
      </c>
      <c r="J7" s="2" t="s">
        <v>61</v>
      </c>
      <c r="K7" s="2" t="s">
        <v>62</v>
      </c>
      <c r="L7" s="2" t="s">
        <v>63</v>
      </c>
      <c r="M7" s="2" t="s">
        <v>23</v>
      </c>
      <c r="N7" s="2" t="s">
        <v>24</v>
      </c>
    </row>
    <row r="8" spans="1:14" ht="51">
      <c r="A8" s="2" t="s">
        <v>64</v>
      </c>
      <c r="B8" s="2" t="s">
        <v>65</v>
      </c>
      <c r="C8" s="2" t="s">
        <v>66</v>
      </c>
      <c r="D8" s="2" t="s">
        <v>67</v>
      </c>
      <c r="E8" s="2" t="s">
        <v>68</v>
      </c>
      <c r="F8" s="2" t="s">
        <v>69</v>
      </c>
      <c r="G8" s="3">
        <v>7</v>
      </c>
      <c r="H8" s="3">
        <v>3</v>
      </c>
      <c r="I8" s="3">
        <f t="shared" si="0"/>
        <v>21</v>
      </c>
      <c r="J8" s="2" t="s">
        <v>70</v>
      </c>
      <c r="K8" s="2" t="s">
        <v>71</v>
      </c>
      <c r="L8" s="2" t="s">
        <v>72</v>
      </c>
      <c r="M8" s="2" t="s">
        <v>23</v>
      </c>
      <c r="N8" s="2" t="s">
        <v>24</v>
      </c>
    </row>
    <row r="9" spans="1:14" ht="51">
      <c r="A9" s="2" t="s">
        <v>73</v>
      </c>
      <c r="B9" s="2" t="s">
        <v>65</v>
      </c>
      <c r="C9" s="2" t="s">
        <v>74</v>
      </c>
      <c r="D9" s="2" t="s">
        <v>75</v>
      </c>
      <c r="E9" s="2" t="s">
        <v>76</v>
      </c>
      <c r="F9" s="2" t="s">
        <v>77</v>
      </c>
      <c r="G9" s="3">
        <v>7</v>
      </c>
      <c r="H9" s="3">
        <v>3</v>
      </c>
      <c r="I9" s="3">
        <f t="shared" si="0"/>
        <v>21</v>
      </c>
      <c r="J9" s="2" t="s">
        <v>78</v>
      </c>
      <c r="K9" s="2" t="s">
        <v>79</v>
      </c>
      <c r="L9" s="2" t="s">
        <v>72</v>
      </c>
      <c r="M9" s="2" t="s">
        <v>23</v>
      </c>
      <c r="N9" s="2" t="s">
        <v>24</v>
      </c>
    </row>
    <row r="10" spans="1:14" ht="25.5">
      <c r="A10" s="2" t="s">
        <v>80</v>
      </c>
      <c r="B10" s="2" t="s">
        <v>81</v>
      </c>
      <c r="C10" s="2" t="s">
        <v>82</v>
      </c>
      <c r="D10" s="2" t="s">
        <v>83</v>
      </c>
      <c r="E10" s="2" t="s">
        <v>84</v>
      </c>
      <c r="F10" s="2" t="s">
        <v>85</v>
      </c>
      <c r="G10" s="3">
        <v>8</v>
      </c>
      <c r="H10" s="3">
        <v>4</v>
      </c>
      <c r="I10" s="3">
        <f t="shared" si="0"/>
        <v>32</v>
      </c>
      <c r="J10" s="2" t="s">
        <v>86</v>
      </c>
      <c r="K10" s="2" t="s">
        <v>87</v>
      </c>
      <c r="L10" s="2" t="s">
        <v>88</v>
      </c>
      <c r="M10" s="2" t="s">
        <v>89</v>
      </c>
      <c r="N10" s="2" t="s">
        <v>24</v>
      </c>
    </row>
    <row r="11" spans="1:14" ht="25.5">
      <c r="A11" s="2" t="s">
        <v>90</v>
      </c>
      <c r="B11" s="2" t="s">
        <v>81</v>
      </c>
      <c r="C11" s="2" t="s">
        <v>91</v>
      </c>
      <c r="D11" s="2" t="s">
        <v>92</v>
      </c>
      <c r="E11" s="2" t="s">
        <v>93</v>
      </c>
      <c r="F11" s="2" t="s">
        <v>94</v>
      </c>
      <c r="G11" s="3">
        <v>8</v>
      </c>
      <c r="H11" s="3">
        <v>4</v>
      </c>
      <c r="I11" s="3">
        <f t="shared" si="0"/>
        <v>32</v>
      </c>
      <c r="J11" s="2" t="s">
        <v>95</v>
      </c>
      <c r="K11" s="2" t="s">
        <v>96</v>
      </c>
      <c r="L11" s="2" t="s">
        <v>88</v>
      </c>
      <c r="M11" s="2" t="s">
        <v>89</v>
      </c>
      <c r="N11" s="2" t="s">
        <v>24</v>
      </c>
    </row>
    <row r="12" spans="1:14" ht="25.5">
      <c r="A12" s="2" t="s">
        <v>97</v>
      </c>
      <c r="B12" s="2" t="s">
        <v>81</v>
      </c>
      <c r="C12" s="2" t="s">
        <v>98</v>
      </c>
      <c r="D12" s="2" t="s">
        <v>99</v>
      </c>
      <c r="E12" s="2" t="s">
        <v>100</v>
      </c>
      <c r="F12" s="2" t="s">
        <v>101</v>
      </c>
      <c r="G12" s="3">
        <v>7</v>
      </c>
      <c r="H12" s="3">
        <v>3</v>
      </c>
      <c r="I12" s="3">
        <f t="shared" si="0"/>
        <v>21</v>
      </c>
      <c r="J12" s="2" t="s">
        <v>102</v>
      </c>
      <c r="K12" s="2" t="s">
        <v>103</v>
      </c>
      <c r="L12" s="2" t="s">
        <v>88</v>
      </c>
      <c r="M12" s="2" t="s">
        <v>89</v>
      </c>
      <c r="N12" s="2" t="s">
        <v>24</v>
      </c>
    </row>
    <row r="13" spans="1:14" ht="25.5">
      <c r="A13" s="2" t="s">
        <v>104</v>
      </c>
      <c r="B13" s="2" t="s">
        <v>105</v>
      </c>
      <c r="C13" s="2" t="s">
        <v>106</v>
      </c>
      <c r="D13" s="2" t="s">
        <v>107</v>
      </c>
      <c r="E13" s="2" t="s">
        <v>108</v>
      </c>
      <c r="F13" s="2" t="s">
        <v>109</v>
      </c>
      <c r="G13" s="3">
        <v>8</v>
      </c>
      <c r="H13" s="3">
        <v>5</v>
      </c>
      <c r="I13" s="3">
        <f t="shared" si="0"/>
        <v>40</v>
      </c>
      <c r="J13" s="2" t="s">
        <v>110</v>
      </c>
      <c r="K13" s="2" t="s">
        <v>111</v>
      </c>
      <c r="L13" s="2" t="s">
        <v>88</v>
      </c>
      <c r="M13" s="2" t="s">
        <v>89</v>
      </c>
      <c r="N13" s="2" t="s">
        <v>24</v>
      </c>
    </row>
    <row r="14" spans="1:14" ht="25.5">
      <c r="A14" s="2" t="s">
        <v>112</v>
      </c>
      <c r="B14" s="2" t="s">
        <v>105</v>
      </c>
      <c r="C14" s="2" t="s">
        <v>113</v>
      </c>
      <c r="D14" s="2" t="s">
        <v>114</v>
      </c>
      <c r="E14" s="2" t="s">
        <v>115</v>
      </c>
      <c r="F14" s="2" t="s">
        <v>116</v>
      </c>
      <c r="G14" s="3">
        <v>8</v>
      </c>
      <c r="H14" s="3">
        <v>4</v>
      </c>
      <c r="I14" s="3">
        <f t="shared" si="0"/>
        <v>32</v>
      </c>
      <c r="J14" s="2" t="s">
        <v>117</v>
      </c>
      <c r="K14" s="2" t="s">
        <v>118</v>
      </c>
      <c r="L14" s="2" t="s">
        <v>88</v>
      </c>
      <c r="M14" s="2" t="s">
        <v>89</v>
      </c>
      <c r="N14" s="2" t="s">
        <v>24</v>
      </c>
    </row>
    <row r="15" spans="1:14" ht="25.5">
      <c r="A15" s="2" t="s">
        <v>119</v>
      </c>
      <c r="B15" s="2" t="s">
        <v>105</v>
      </c>
      <c r="C15" s="2" t="s">
        <v>120</v>
      </c>
      <c r="D15" s="2" t="s">
        <v>121</v>
      </c>
      <c r="E15" s="2" t="s">
        <v>122</v>
      </c>
      <c r="F15" s="2" t="s">
        <v>123</v>
      </c>
      <c r="G15" s="3">
        <v>8</v>
      </c>
      <c r="H15" s="3">
        <v>4</v>
      </c>
      <c r="I15" s="3">
        <f t="shared" si="0"/>
        <v>32</v>
      </c>
      <c r="J15" s="2" t="s">
        <v>124</v>
      </c>
      <c r="K15" s="2" t="s">
        <v>125</v>
      </c>
      <c r="L15" s="2" t="s">
        <v>88</v>
      </c>
      <c r="M15" s="2" t="s">
        <v>89</v>
      </c>
      <c r="N15" s="2" t="s">
        <v>24</v>
      </c>
    </row>
    <row r="16" spans="1:14" ht="25.5">
      <c r="A16" s="2" t="s">
        <v>126</v>
      </c>
      <c r="B16" s="2" t="s">
        <v>105</v>
      </c>
      <c r="C16" s="2" t="s">
        <v>127</v>
      </c>
      <c r="D16" s="2" t="s">
        <v>128</v>
      </c>
      <c r="E16" s="2" t="s">
        <v>129</v>
      </c>
      <c r="F16" s="2" t="s">
        <v>130</v>
      </c>
      <c r="G16" s="3">
        <v>8</v>
      </c>
      <c r="H16" s="3">
        <v>3</v>
      </c>
      <c r="I16" s="3">
        <f t="shared" si="0"/>
        <v>24</v>
      </c>
      <c r="J16" s="2" t="s">
        <v>131</v>
      </c>
      <c r="K16" s="2" t="s">
        <v>132</v>
      </c>
      <c r="L16" s="2" t="s">
        <v>88</v>
      </c>
      <c r="M16" s="2" t="s">
        <v>133</v>
      </c>
      <c r="N16" s="2" t="s">
        <v>134</v>
      </c>
    </row>
    <row r="17" spans="1:14" ht="25.5">
      <c r="A17" s="2" t="s">
        <v>135</v>
      </c>
      <c r="B17" s="2" t="s">
        <v>105</v>
      </c>
      <c r="C17" s="2" t="s">
        <v>136</v>
      </c>
      <c r="D17" s="2" t="s">
        <v>137</v>
      </c>
      <c r="E17" s="2" t="s">
        <v>138</v>
      </c>
      <c r="F17" s="2" t="s">
        <v>139</v>
      </c>
      <c r="G17" s="3">
        <v>8</v>
      </c>
      <c r="H17" s="3">
        <v>4</v>
      </c>
      <c r="I17" s="3">
        <f t="shared" si="0"/>
        <v>32</v>
      </c>
      <c r="J17" s="2" t="s">
        <v>140</v>
      </c>
      <c r="K17" s="2" t="s">
        <v>141</v>
      </c>
      <c r="L17" s="2" t="s">
        <v>88</v>
      </c>
      <c r="M17" s="2" t="s">
        <v>89</v>
      </c>
      <c r="N17" s="2" t="s">
        <v>24</v>
      </c>
    </row>
    <row r="18" spans="1:14" ht="51">
      <c r="A18" s="2" t="s">
        <v>142</v>
      </c>
      <c r="B18" s="2" t="s">
        <v>105</v>
      </c>
      <c r="C18" s="2" t="s">
        <v>143</v>
      </c>
      <c r="D18" s="2" t="s">
        <v>144</v>
      </c>
      <c r="E18" s="2" t="s">
        <v>145</v>
      </c>
      <c r="F18" s="2" t="s">
        <v>146</v>
      </c>
      <c r="G18" s="3">
        <v>8</v>
      </c>
      <c r="H18" s="3">
        <v>4</v>
      </c>
      <c r="I18" s="3">
        <f t="shared" si="0"/>
        <v>32</v>
      </c>
      <c r="J18" s="2" t="s">
        <v>147</v>
      </c>
      <c r="K18" s="2" t="s">
        <v>148</v>
      </c>
      <c r="L18" s="2" t="s">
        <v>88</v>
      </c>
      <c r="M18" s="2" t="s">
        <v>149</v>
      </c>
      <c r="N18" s="2" t="s">
        <v>150</v>
      </c>
    </row>
    <row r="19" spans="1:14" ht="63.75">
      <c r="A19" s="2" t="s">
        <v>151</v>
      </c>
      <c r="B19" s="2" t="s">
        <v>105</v>
      </c>
      <c r="C19" s="2" t="s">
        <v>152</v>
      </c>
      <c r="D19" s="2" t="s">
        <v>153</v>
      </c>
      <c r="E19" s="2" t="s">
        <v>154</v>
      </c>
      <c r="F19" s="2" t="s">
        <v>155</v>
      </c>
      <c r="G19" s="3">
        <v>9</v>
      </c>
      <c r="H19" s="3">
        <v>4</v>
      </c>
      <c r="I19" s="3">
        <f t="shared" si="0"/>
        <v>36</v>
      </c>
      <c r="J19" s="2" t="s">
        <v>156</v>
      </c>
      <c r="K19" s="2" t="s">
        <v>157</v>
      </c>
      <c r="L19" s="2" t="s">
        <v>88</v>
      </c>
      <c r="M19" s="2" t="s">
        <v>158</v>
      </c>
      <c r="N19" s="2" t="s">
        <v>159</v>
      </c>
    </row>
    <row r="20" spans="1:14" ht="51">
      <c r="A20" s="2" t="s">
        <v>160</v>
      </c>
      <c r="B20" s="2" t="s">
        <v>105</v>
      </c>
      <c r="C20" s="2" t="s">
        <v>161</v>
      </c>
      <c r="D20" s="2" t="s">
        <v>162</v>
      </c>
      <c r="E20" s="2" t="s">
        <v>163</v>
      </c>
      <c r="F20" s="2" t="s">
        <v>164</v>
      </c>
      <c r="G20" s="3">
        <v>8</v>
      </c>
      <c r="H20" s="3">
        <v>5</v>
      </c>
      <c r="I20" s="3">
        <f t="shared" si="0"/>
        <v>40</v>
      </c>
      <c r="J20" s="2" t="s">
        <v>165</v>
      </c>
      <c r="K20" s="2" t="s">
        <v>166</v>
      </c>
      <c r="L20" s="2" t="s">
        <v>88</v>
      </c>
      <c r="M20" s="2" t="s">
        <v>149</v>
      </c>
      <c r="N20" s="2" t="s">
        <v>150</v>
      </c>
    </row>
    <row r="21" spans="1:14" ht="51">
      <c r="A21" s="2" t="s">
        <v>167</v>
      </c>
      <c r="B21" s="2" t="s">
        <v>105</v>
      </c>
      <c r="C21" s="2" t="s">
        <v>168</v>
      </c>
      <c r="D21" s="2" t="s">
        <v>169</v>
      </c>
      <c r="E21" s="2" t="s">
        <v>170</v>
      </c>
      <c r="F21" s="2" t="s">
        <v>171</v>
      </c>
      <c r="G21" s="3">
        <v>8</v>
      </c>
      <c r="H21" s="3">
        <v>5</v>
      </c>
      <c r="I21" s="3">
        <f t="shared" si="0"/>
        <v>40</v>
      </c>
      <c r="J21" s="2" t="s">
        <v>172</v>
      </c>
      <c r="K21" s="2" t="s">
        <v>173</v>
      </c>
      <c r="L21" s="2" t="s">
        <v>88</v>
      </c>
      <c r="M21" s="2" t="s">
        <v>149</v>
      </c>
      <c r="N21" s="2" t="s">
        <v>150</v>
      </c>
    </row>
    <row r="22" spans="1:14" ht="51">
      <c r="A22" s="2" t="s">
        <v>174</v>
      </c>
      <c r="B22" s="2" t="s">
        <v>105</v>
      </c>
      <c r="C22" s="2" t="s">
        <v>175</v>
      </c>
      <c r="D22" s="2" t="s">
        <v>176</v>
      </c>
      <c r="E22" s="2" t="s">
        <v>177</v>
      </c>
      <c r="F22" s="2" t="s">
        <v>178</v>
      </c>
      <c r="G22" s="3">
        <v>8</v>
      </c>
      <c r="H22" s="3">
        <v>4</v>
      </c>
      <c r="I22" s="3">
        <f t="shared" si="0"/>
        <v>32</v>
      </c>
      <c r="J22" s="2" t="s">
        <v>179</v>
      </c>
      <c r="K22" s="2" t="s">
        <v>180</v>
      </c>
      <c r="L22" s="2" t="s">
        <v>88</v>
      </c>
      <c r="M22" s="2" t="s">
        <v>133</v>
      </c>
      <c r="N22" s="2" t="s">
        <v>134</v>
      </c>
    </row>
    <row r="23" spans="1:14" ht="102">
      <c r="A23" s="2" t="s">
        <v>181</v>
      </c>
      <c r="B23" s="2" t="s">
        <v>105</v>
      </c>
      <c r="C23" s="2" t="s">
        <v>182</v>
      </c>
      <c r="D23" s="2" t="s">
        <v>183</v>
      </c>
      <c r="E23" s="2" t="s">
        <v>184</v>
      </c>
      <c r="F23" s="2" t="s">
        <v>185</v>
      </c>
      <c r="G23" s="3">
        <v>8</v>
      </c>
      <c r="H23" s="3">
        <v>4</v>
      </c>
      <c r="I23" s="3">
        <f t="shared" si="0"/>
        <v>32</v>
      </c>
      <c r="J23" s="2" t="s">
        <v>186</v>
      </c>
      <c r="K23" s="2" t="s">
        <v>187</v>
      </c>
      <c r="L23" s="2" t="s">
        <v>88</v>
      </c>
      <c r="M23" s="2" t="s">
        <v>188</v>
      </c>
      <c r="N23" s="2" t="s">
        <v>189</v>
      </c>
    </row>
    <row r="24" spans="1:14" ht="76.5">
      <c r="A24" s="2" t="s">
        <v>190</v>
      </c>
      <c r="B24" s="2" t="s">
        <v>105</v>
      </c>
      <c r="C24" s="2" t="s">
        <v>191</v>
      </c>
      <c r="D24" s="2" t="s">
        <v>192</v>
      </c>
      <c r="E24" s="2" t="s">
        <v>193</v>
      </c>
      <c r="F24" s="2" t="s">
        <v>194</v>
      </c>
      <c r="G24" s="3">
        <v>8</v>
      </c>
      <c r="H24" s="3">
        <v>3</v>
      </c>
      <c r="I24" s="3">
        <f t="shared" si="0"/>
        <v>24</v>
      </c>
      <c r="J24" s="2" t="s">
        <v>195</v>
      </c>
      <c r="K24" s="2" t="s">
        <v>196</v>
      </c>
      <c r="L24" s="2" t="s">
        <v>88</v>
      </c>
      <c r="M24" s="2" t="s">
        <v>197</v>
      </c>
      <c r="N24" s="2" t="s">
        <v>198</v>
      </c>
    </row>
    <row r="25" spans="1:14" ht="102">
      <c r="A25" s="2" t="s">
        <v>199</v>
      </c>
      <c r="B25" s="2" t="s">
        <v>105</v>
      </c>
      <c r="C25" s="2" t="s">
        <v>200</v>
      </c>
      <c r="D25" s="2" t="s">
        <v>201</v>
      </c>
      <c r="E25" s="2" t="s">
        <v>202</v>
      </c>
      <c r="F25" s="2" t="s">
        <v>203</v>
      </c>
      <c r="G25" s="3">
        <v>8</v>
      </c>
      <c r="H25" s="3">
        <v>3</v>
      </c>
      <c r="I25" s="3">
        <f t="shared" si="0"/>
        <v>24</v>
      </c>
      <c r="J25" s="2" t="s">
        <v>204</v>
      </c>
      <c r="K25" s="2" t="s">
        <v>205</v>
      </c>
      <c r="L25" s="2" t="s">
        <v>88</v>
      </c>
      <c r="M25" s="2" t="s">
        <v>188</v>
      </c>
      <c r="N25" s="2" t="s">
        <v>189</v>
      </c>
    </row>
    <row r="26" spans="1:14" ht="38.25">
      <c r="A26" s="2" t="s">
        <v>206</v>
      </c>
      <c r="B26" s="2" t="s">
        <v>105</v>
      </c>
      <c r="C26" s="2" t="s">
        <v>207</v>
      </c>
      <c r="D26" s="2" t="s">
        <v>208</v>
      </c>
      <c r="E26" s="2" t="s">
        <v>209</v>
      </c>
      <c r="F26" s="2" t="s">
        <v>210</v>
      </c>
      <c r="G26" s="3">
        <v>8</v>
      </c>
      <c r="H26" s="3">
        <v>3</v>
      </c>
      <c r="I26" s="3">
        <f t="shared" si="0"/>
        <v>24</v>
      </c>
      <c r="J26" s="2" t="s">
        <v>211</v>
      </c>
      <c r="K26" s="2" t="s">
        <v>212</v>
      </c>
      <c r="L26" s="2" t="s">
        <v>88</v>
      </c>
      <c r="M26" s="2" t="s">
        <v>23</v>
      </c>
      <c r="N26" s="2" t="s">
        <v>24</v>
      </c>
    </row>
    <row r="27" spans="1:14" ht="38.25">
      <c r="A27" s="2" t="s">
        <v>213</v>
      </c>
      <c r="B27" s="2" t="s">
        <v>105</v>
      </c>
      <c r="C27" s="2" t="s">
        <v>214</v>
      </c>
      <c r="D27" s="2" t="s">
        <v>215</v>
      </c>
      <c r="E27" s="2" t="s">
        <v>216</v>
      </c>
      <c r="F27" s="2" t="s">
        <v>217</v>
      </c>
      <c r="G27" s="3">
        <v>8</v>
      </c>
      <c r="H27" s="3">
        <v>4</v>
      </c>
      <c r="I27" s="3">
        <f t="shared" si="0"/>
        <v>32</v>
      </c>
      <c r="J27" s="2" t="s">
        <v>218</v>
      </c>
      <c r="K27" s="2" t="s">
        <v>219</v>
      </c>
      <c r="L27" s="2" t="s">
        <v>88</v>
      </c>
      <c r="M27" s="2" t="s">
        <v>133</v>
      </c>
      <c r="N27" s="2" t="s">
        <v>134</v>
      </c>
    </row>
    <row r="28" spans="1:14" ht="51">
      <c r="A28" s="2" t="s">
        <v>220</v>
      </c>
      <c r="B28" s="2" t="s">
        <v>221</v>
      </c>
      <c r="C28" s="2" t="s">
        <v>222</v>
      </c>
      <c r="D28" s="2" t="s">
        <v>223</v>
      </c>
      <c r="E28" s="2" t="s">
        <v>224</v>
      </c>
      <c r="F28" s="2" t="s">
        <v>225</v>
      </c>
      <c r="G28" s="3">
        <v>8</v>
      </c>
      <c r="H28" s="3">
        <v>3</v>
      </c>
      <c r="I28" s="3">
        <f t="shared" si="0"/>
        <v>24</v>
      </c>
      <c r="J28" s="2" t="s">
        <v>226</v>
      </c>
      <c r="K28" s="2" t="s">
        <v>227</v>
      </c>
      <c r="L28" s="2" t="s">
        <v>22</v>
      </c>
      <c r="M28" s="2" t="s">
        <v>228</v>
      </c>
      <c r="N28" s="2" t="s">
        <v>229</v>
      </c>
    </row>
    <row r="29" spans="1:14" ht="51">
      <c r="A29" s="2" t="s">
        <v>230</v>
      </c>
      <c r="B29" s="2" t="s">
        <v>221</v>
      </c>
      <c r="C29" s="2" t="s">
        <v>231</v>
      </c>
      <c r="D29" s="2" t="s">
        <v>232</v>
      </c>
      <c r="E29" s="2" t="s">
        <v>233</v>
      </c>
      <c r="F29" s="2" t="s">
        <v>234</v>
      </c>
      <c r="G29" s="3">
        <v>7</v>
      </c>
      <c r="H29" s="3">
        <v>3</v>
      </c>
      <c r="I29" s="3">
        <f t="shared" si="0"/>
        <v>21</v>
      </c>
      <c r="J29" s="2" t="s">
        <v>235</v>
      </c>
      <c r="K29" s="2" t="s">
        <v>236</v>
      </c>
      <c r="L29" s="2" t="s">
        <v>22</v>
      </c>
      <c r="M29" s="2" t="s">
        <v>228</v>
      </c>
      <c r="N29" s="2" t="s">
        <v>229</v>
      </c>
    </row>
    <row r="30" spans="1:14" ht="51">
      <c r="A30" s="2" t="s">
        <v>237</v>
      </c>
      <c r="B30" s="2" t="s">
        <v>221</v>
      </c>
      <c r="C30" s="2" t="s">
        <v>238</v>
      </c>
      <c r="D30" s="2" t="s">
        <v>239</v>
      </c>
      <c r="E30" s="2" t="s">
        <v>240</v>
      </c>
      <c r="F30" s="2" t="s">
        <v>241</v>
      </c>
      <c r="G30" s="3">
        <v>8</v>
      </c>
      <c r="H30" s="3">
        <v>3</v>
      </c>
      <c r="I30" s="3">
        <f t="shared" si="0"/>
        <v>24</v>
      </c>
      <c r="J30" s="2" t="s">
        <v>242</v>
      </c>
      <c r="K30" s="2" t="s">
        <v>243</v>
      </c>
      <c r="L30" s="2" t="s">
        <v>22</v>
      </c>
      <c r="M30" s="2" t="s">
        <v>228</v>
      </c>
      <c r="N30" s="2" t="s">
        <v>229</v>
      </c>
    </row>
    <row r="31" spans="1:14" ht="89.25">
      <c r="A31" s="2" t="s">
        <v>244</v>
      </c>
      <c r="B31" s="2" t="s">
        <v>221</v>
      </c>
      <c r="C31" s="2" t="s">
        <v>245</v>
      </c>
      <c r="D31" s="2" t="s">
        <v>246</v>
      </c>
      <c r="E31" s="2" t="s">
        <v>247</v>
      </c>
      <c r="F31" s="2" t="s">
        <v>248</v>
      </c>
      <c r="G31" s="3">
        <v>8</v>
      </c>
      <c r="H31" s="3">
        <v>4</v>
      </c>
      <c r="I31" s="3">
        <f t="shared" si="0"/>
        <v>32</v>
      </c>
      <c r="J31" s="2" t="s">
        <v>249</v>
      </c>
      <c r="K31" s="2" t="s">
        <v>250</v>
      </c>
      <c r="L31" s="2" t="s">
        <v>22</v>
      </c>
      <c r="M31" s="2" t="s">
        <v>251</v>
      </c>
      <c r="N31" s="2" t="s">
        <v>252</v>
      </c>
    </row>
    <row r="32" spans="1:14" ht="76.5">
      <c r="A32" s="2" t="s">
        <v>253</v>
      </c>
      <c r="B32" s="2" t="s">
        <v>221</v>
      </c>
      <c r="C32" s="2" t="s">
        <v>254</v>
      </c>
      <c r="D32" s="2" t="s">
        <v>255</v>
      </c>
      <c r="E32" s="2" t="s">
        <v>256</v>
      </c>
      <c r="F32" s="2" t="s">
        <v>257</v>
      </c>
      <c r="G32" s="3">
        <v>8</v>
      </c>
      <c r="H32" s="3">
        <v>3</v>
      </c>
      <c r="I32" s="3">
        <f t="shared" si="0"/>
        <v>24</v>
      </c>
      <c r="J32" s="2" t="s">
        <v>258</v>
      </c>
      <c r="K32" s="2" t="s">
        <v>259</v>
      </c>
      <c r="L32" s="2" t="s">
        <v>22</v>
      </c>
      <c r="M32" s="2" t="s">
        <v>197</v>
      </c>
      <c r="N32" s="2" t="s">
        <v>198</v>
      </c>
    </row>
    <row r="33" spans="1:14" ht="63.75">
      <c r="A33" s="2" t="s">
        <v>260</v>
      </c>
      <c r="B33" s="2" t="s">
        <v>15</v>
      </c>
      <c r="C33" s="2" t="s">
        <v>261</v>
      </c>
      <c r="D33" s="2" t="s">
        <v>262</v>
      </c>
      <c r="E33" s="2" t="s">
        <v>263</v>
      </c>
      <c r="F33" s="2" t="s">
        <v>264</v>
      </c>
      <c r="G33" s="3">
        <v>8</v>
      </c>
      <c r="H33" s="3">
        <v>4</v>
      </c>
      <c r="I33" s="3">
        <f t="shared" si="0"/>
        <v>32</v>
      </c>
      <c r="J33" s="2" t="s">
        <v>265</v>
      </c>
      <c r="K33" s="2" t="s">
        <v>266</v>
      </c>
      <c r="L33" s="2" t="s">
        <v>22</v>
      </c>
      <c r="M33" s="2" t="s">
        <v>23</v>
      </c>
      <c r="N33" s="2" t="s">
        <v>24</v>
      </c>
    </row>
    <row r="34" spans="1:14" ht="63.75">
      <c r="A34" s="2" t="s">
        <v>267</v>
      </c>
      <c r="B34" s="2" t="s">
        <v>268</v>
      </c>
      <c r="C34" s="2" t="s">
        <v>269</v>
      </c>
      <c r="D34" s="2" t="s">
        <v>270</v>
      </c>
      <c r="E34" s="2" t="s">
        <v>271</v>
      </c>
      <c r="F34" s="2" t="s">
        <v>272</v>
      </c>
      <c r="G34" s="3">
        <v>8</v>
      </c>
      <c r="H34" s="3">
        <v>3</v>
      </c>
      <c r="I34" s="3">
        <f t="shared" si="0"/>
        <v>24</v>
      </c>
      <c r="J34" s="2" t="s">
        <v>273</v>
      </c>
      <c r="K34" s="2" t="s">
        <v>274</v>
      </c>
      <c r="L34" s="2" t="s">
        <v>275</v>
      </c>
      <c r="M34" s="2" t="s">
        <v>276</v>
      </c>
      <c r="N34" s="2" t="s">
        <v>277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2dafea-079e-4f13-8c31-726b68bf6a28" xsi:nil="true"/>
    <lcf76f155ced4ddcb4097134ff3c332f xmlns="476fff79-cca5-4bf5-bfa1-08e490f83e2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Έγγραφο" ma:contentTypeID="0x010100B304A6117C4DF84CB3C8B051AC891574" ma:contentTypeVersion="20" ma:contentTypeDescription="Δημιουργία νέου εγγράφου" ma:contentTypeScope="" ma:versionID="4ed839a14509944c5291fcd17fa2b9d9">
  <xsd:schema xmlns:xsd="http://www.w3.org/2001/XMLSchema" xmlns:xs="http://www.w3.org/2001/XMLSchema" xmlns:p="http://schemas.microsoft.com/office/2006/metadata/properties" xmlns:ns2="476fff79-cca5-4bf5-bfa1-08e490f83e28" xmlns:ns3="d72dafea-079e-4f13-8c31-726b68bf6a28" targetNamespace="http://schemas.microsoft.com/office/2006/metadata/properties" ma:root="true" ma:fieldsID="77a66d2d8778af9a3e204b39cbf3bb64" ns2:_="" ns3:_="">
    <xsd:import namespace="476fff79-cca5-4bf5-bfa1-08e490f83e28"/>
    <xsd:import namespace="d72dafea-079e-4f13-8c31-726b68bf6a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6fff79-cca5-4bf5-bfa1-08e490f83e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Ετικέτες εικόνας"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dafea-079e-4f13-8c31-726b68bf6a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4e1b9b5-9fa9-4613-b7f5-e0abfd9c0063}" ma:internalName="TaxCatchAll" ma:showField="CatchAllData" ma:web="d72dafea-079e-4f13-8c31-726b68bf6a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E9EFF9-158A-4A8C-8AE3-B55463E36606}"/>
</file>

<file path=customXml/itemProps2.xml><?xml version="1.0" encoding="utf-8"?>
<ds:datastoreItem xmlns:ds="http://schemas.openxmlformats.org/officeDocument/2006/customXml" ds:itemID="{039A9485-8FA5-49AB-BE75-1EB652548109}"/>
</file>

<file path=customXml/itemProps3.xml><?xml version="1.0" encoding="utf-8"?>
<ds:datastoreItem xmlns:ds="http://schemas.openxmlformats.org/officeDocument/2006/customXml" ds:itemID="{85039723-7945-4FAF-8C6C-99DCE769AE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Hercules Koutalidis</cp:lastModifiedBy>
  <cp:revision/>
  <dcterms:created xsi:type="dcterms:W3CDTF">2026-07-28T16:29:13Z</dcterms:created>
  <dcterms:modified xsi:type="dcterms:W3CDTF">2026-07-28T16:29:13Z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0x010100B304A6117C4DF84CB3C8B051AC891574</vt:lpwstr>
  </property>
  <property fmtid="{D5CDD505-2E9C-101B-9397-08002B2CF9AE}" pid="3" name="MediaServiceImageTags">
    <vt:lpwstr/>
  </property>
</Properties>
</file>