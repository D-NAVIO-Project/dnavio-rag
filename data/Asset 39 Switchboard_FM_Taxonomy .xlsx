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loydsregistergroup-my.sharepoint.com/personal/joseph_morelos_lr_org/Documents/Technology and Innovation work/DNavio EU project/WP 5 Reliability Regimes/LR WP 5.1 Contributions/"/>
    </mc:Choice>
  </mc:AlternateContent>
  <xr:revisionPtr revIDLastSave="30" documentId="8_{1773D503-030B-4ECF-A021-A4E6CDE03261}" xr6:coauthVersionLast="47" xr6:coauthVersionMax="47" xr10:uidLastSave="{73EC40BC-2749-4C23-8C77-B3FD525C503C}"/>
  <bookViews>
    <workbookView xWindow="33720" yWindow="-120" windowWidth="38640" windowHeight="21120" tabRatio="500" xr2:uid="{00000000-000D-0000-FFFF-FFFF00000000}"/>
  </bookViews>
  <sheets>
    <sheet name="Fault Taxonomy" sheetId="1" r:id="rId1"/>
  </sheets>
  <definedNames>
    <definedName name="_xlnm._FilterDatabase" localSheetId="0" hidden="1">'Fault Taxonomy'!$A$2:$M$2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<sst xmlns="http://schemas.openxmlformats.org/spreadsheetml/2006/main" count="152" uniqueCount="112">
  <si>
    <t>D-NAVIO — Fault Taxonomy</t>
  </si>
  <si>
    <t>FM ID</t>
  </si>
  <si>
    <t>FM Class</t>
  </si>
  <si>
    <t>Failure Mode (FM)</t>
  </si>
  <si>
    <t>Potential Cause(s) &amp; Mechanism(s)</t>
  </si>
  <si>
    <t>Potential Technical Effects on the Asset</t>
  </si>
  <si>
    <t>Potential Consequences</t>
  </si>
  <si>
    <t>Severity (1-10)</t>
  </si>
  <si>
    <t>Probability (1-10)</t>
  </si>
  <si>
    <t>Detective Controls</t>
  </si>
  <si>
    <t>Preventive Controls</t>
  </si>
  <si>
    <t>Responsibility</t>
  </si>
  <si>
    <t>Source</t>
  </si>
  <si>
    <t>Link</t>
  </si>
  <si>
    <t>Column Guide</t>
  </si>
  <si>
    <t>Column</t>
  </si>
  <si>
    <t>Description</t>
  </si>
  <si>
    <t>Distinct Failure Mode ID in the form "Asset initials - XX" (e.g. PMP-01).</t>
  </si>
  <si>
    <t>Group or classification for the asset's failure mode.</t>
  </si>
  <si>
    <t>Concise &amp; comprehensive name for the failure mode.</t>
  </si>
  <si>
    <t>Potential Causes</t>
  </si>
  <si>
    <t>Brief description of the FM's causes, and the mechanism(s) which lead to the FM. 2-3 concise sentences.</t>
  </si>
  <si>
    <t>Potential Technical Effects</t>
  </si>
  <si>
    <t>Brief description of the FM's effects on the asset. 2-3 concise sentences.</t>
  </si>
  <si>
    <t>Brief description of the FM's consequences. These are the results (consequences) most important for the entire ships' high level operations. 2-3 concise sentences. It is ok if there is some overlapping with the Pot. Technical Effects.</t>
  </si>
  <si>
    <t>Severity score of the FM (1-10).  (optional)</t>
  </si>
  <si>
    <t>Probability score of the FM (1-10).  (optional)</t>
  </si>
  <si>
    <t>How the FM can be detected.  (optional)</t>
  </si>
  <si>
    <t>How the FM can be prevented.  (optional)</t>
  </si>
  <si>
    <t>Who is responsible for addressing the FM.  (optional)</t>
  </si>
  <si>
    <t>https://search.abb.com/library/Download.aspx?DocumentID=9AKK108466A1295</t>
  </si>
  <si>
    <t>Electrical Engineer</t>
  </si>
  <si>
    <t>Circuit Breaker System</t>
  </si>
  <si>
    <t>https://productinfo.se.com/jyt1078000_flexset_switchboards_ib/</t>
  </si>
  <si>
    <t>Protection System</t>
  </si>
  <si>
    <t>SWB-01</t>
  </si>
  <si>
    <t>Busbar overheating</t>
  </si>
  <si>
    <t>Excessive temperatures degrade insulation, distort busbars and reduce current carrying capacity. Prolonged overheating can damage adjacent switchgear and protective devices.</t>
  </si>
  <si>
    <t>Infrared thermography; temperature monitoring; visual inspection; current trending; switchboard alarms</t>
  </si>
  <si>
    <t>Electrical Engineer; Chief Engineer</t>
  </si>
  <si>
    <t>Schneider Electric.
FlexSet Switchboards Instruction Bulletin.
Document No. JYT1078000.
Section: Maintaining the Switchboard.
Periodic inspection, busbar maintenance,
breaker testing and maintenance requirements.</t>
  </si>
  <si>
    <t>SWB-02</t>
  </si>
  <si>
    <t xml:space="preserve">Busbar Insulation failure </t>
  </si>
  <si>
    <t>Major electrical faults can result in fire, equipment damage and vessel blackout. Navigation, propulsion and safety systems may be adversely affected.</t>
  </si>
  <si>
    <t>Insulation resistance testing; partial discharge monitoring; thermography; visual inspection; relay alarms</t>
  </si>
  <si>
    <t>Environmental control; insulation testing; cleaning programmes; replacement of degraded insulation materials</t>
  </si>
  <si>
    <t>SWB-03</t>
  </si>
  <si>
    <t>Breaker (fail to close)</t>
  </si>
  <si>
    <t>Mechanical wear, damaged operating mechanisms, defective closing coils or interlock faults prevent breaker closure. Loss of control power may also inhibit operation.</t>
  </si>
  <si>
    <t>Breaker functional testing; status indication monitoring; control circuit diagnostics; alarm review</t>
  </si>
  <si>
    <t>Scheduled breaker maintenance; lubrication; testing of closing circuits; OEM overhaul intervals</t>
  </si>
  <si>
    <t>Electrical Engineer; Service Engineer</t>
  </si>
  <si>
    <t>SWB-04</t>
  </si>
  <si>
    <t>Breaker (fail to open)</t>
  </si>
  <si>
    <t>Mechanical seizure, trip coil failure or defective protection circuits prevent breaker interruption. Fault current continues flowing into the affected circuit.</t>
  </si>
  <si>
    <t>Safe fault isolation is lost and fault energy remains connected. Adjacent equipment may suffer secondary damage.</t>
  </si>
  <si>
    <t>Arc flash, fire and cascading electrical failures may occur. Personnel safety and vessel electrical stability are significantly threatened.</t>
  </si>
  <si>
    <t>Trip testing; protection relay testing; event recorder analysis; breaker inspections</t>
  </si>
  <si>
    <t>Periodic trip verification; protective relay maintenance; preventive component replacement</t>
  </si>
  <si>
    <t>SWB-05</t>
  </si>
  <si>
    <t>Tripping</t>
  </si>
  <si>
    <t>Incorrect protection settings, electrical transients, harmonics or grounding deficiencies cause unwanted breaker operations. Healthy circuits are disconnected unnecessarily.</t>
  </si>
  <si>
    <t>Electrical feeders are interrupted despite absence of true faults. Repeated tripping accelerates breaker wear.</t>
  </si>
  <si>
    <t>Critical consumers may be lost unexpectedly causing operational disruption, reduced reliability and possible propulsion support issues.</t>
  </si>
  <si>
    <t>Event log review; relay diagnostics; power quality monitoring; alarm trending</t>
  </si>
  <si>
    <t>Protection coordination studies; relay calibration; harmonic mitigation; grounding inspections</t>
  </si>
  <si>
    <t>https://productinfo.se.com/jyt1078000_flexset-switchboards_ib/</t>
  </si>
  <si>
    <t>SWB-06</t>
  </si>
  <si>
    <t>Contact wear/erosion</t>
  </si>
  <si>
    <t>Frequent switching operations and arcing progressively remove contact material. Increased resistance develops across the contact surfaces.</t>
  </si>
  <si>
    <t>Overheating, voltage drops and unreliable switching performance occur. Advanced wear may lead to contact welding or failure.</t>
  </si>
  <si>
    <t>Distribution reliability is reduced and the likelihood of feeder outages increases. Equipment availability and vessel operations may be affected.</t>
  </si>
  <si>
    <t>Thermography; contact resistance testing; visual inspection; breaker maintenance records</t>
  </si>
  <si>
    <t>Periodic overhaul; contact replacement; adherence to OEM maintenance schedules</t>
  </si>
  <si>
    <t>SWB-07</t>
  </si>
  <si>
    <t>Synchronising failure</t>
  </si>
  <si>
    <t>Voltage, frequency or phase angle mismatch caused by faulty instrumentation, control system errors or unstable generators prevents successful synchronization. Incoming generators cannot be safely paralleled.</t>
  </si>
  <si>
    <t>Generator connection attempts fail and synchronization alarms are generated. Electrical stress may occur if incorrect synchronization is attempted.</t>
  </si>
  <si>
    <t>Synchronizing relay checks; PMS alarms; voltage monitoring; frequency monitoring; operator observation</t>
  </si>
  <si>
    <t>Calibration of synchronizing equipment; AVR maintenance; governor testing; routine synchronization drills</t>
  </si>
  <si>
    <t>ABB.
Motor and Generator Preventive Maintenance.
Document No. 9AKK108466A1295.
AND
IEEE Std 3004.8-2016.
Recommended Practice for Generator Protection.
Section: Synchronization and Paralleling.</t>
  </si>
  <si>
    <t>SWB-08</t>
  </si>
  <si>
    <t>Load Sharing System</t>
  </si>
  <si>
    <t>Load sharing failure</t>
  </si>
  <si>
    <t>Generator control, governor or AVR faults cause uneven active or reactive load distribution. One generator may become overloaded while others remain lightly loaded.</t>
  </si>
  <si>
    <t>Overloaded generators overheat and experience voltage or frequency instability. Protective trips may occur.</t>
  </si>
  <si>
    <t>Power management system monitoring; load trending; generator performance review; alarm monitoring</t>
  </si>
  <si>
    <t>Routine load sharing tests; controller calibration; AVR maintenance; governor tuning</t>
  </si>
  <si>
    <t>Electrical Engineer; Chief Engineer; Service Engineer</t>
  </si>
  <si>
    <t>ABB.
Motor and Generator Preventive Maintenance.
Document No. 9AKK108466A1295.
AND
Woodward Generator Load Sharing and Control Systems Manual.</t>
  </si>
  <si>
    <t>SWB-09</t>
  </si>
  <si>
    <t>Blackout</t>
  </si>
  <si>
    <t>Major bus faults, cascading generator trips, protection coordination failures or bus tie logic errors result in total loss of electrical supply. Redundancy is insufficient to sustain essential loads.</t>
  </si>
  <si>
    <t>The switchboard becomes de-energised and all connected services lose power. Emergency systems and blackout recovery functions must operate correctly.</t>
  </si>
  <si>
    <t>PMS monitoring; generator status monitoring; event recorder analysis; blackout recovery testing</t>
  </si>
  <si>
    <t>Redundancy management; protection coordination studies; crew drills; preventive maintenance of generation and distribution systems</t>
  </si>
  <si>
    <t xml:space="preserve">Busbar </t>
  </si>
  <si>
    <t>Busbar misalignment, loose connections, corrosion and moisture ingress increase contact resistance. Elevated resistance causes localised heating and progressive deterioration of conductors and insulation.</t>
  </si>
  <si>
    <t>Electrical Engineer; Electrical technician</t>
  </si>
  <si>
    <t>Protection trips,  loss of power distribution may occur. Essential services, propulsionand cargo operations can be disrupted and blackout risk increases.</t>
  </si>
  <si>
    <t>Moisture ingress, contamination, ageing and maintenance damage reduce dielectric strength. Partial discharge eventually lead to insulation breakdown.</t>
  </si>
  <si>
    <t>Phase-to-phase or phase-to-ground faults may develop. Severe internal arcing can damage switchboard and associated equipment.</t>
  </si>
  <si>
    <t>Routine checks; cleaning; corrosion control; thermographic inspections; load balancing</t>
  </si>
  <si>
    <t>Generators and consumers cannot be connected when required. Available system redundancy is reduced.</t>
  </si>
  <si>
    <t>Loss of standby generationavailability  compromise  operational resilience during failure conditions.</t>
  </si>
  <si>
    <t>Contactor</t>
  </si>
  <si>
    <t xml:space="preserve">Synchronisation </t>
  </si>
  <si>
    <t>Loss of generating redundancy increases blackout risk and can affect propulsion and essential services</t>
  </si>
  <si>
    <t>Reduced generating capacity and increased blackout risk can impact propulsion  and essential services</t>
  </si>
  <si>
    <t>Loss of propulsion, navigation support systems, cargo operations, dynamic positioning and  and essential services. This represents a critical vessel-level event.</t>
  </si>
  <si>
    <t>Chief Engineer; Electrical Engineer</t>
  </si>
  <si>
    <t>Electrical Engineer;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</si>
</sst>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2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2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6" borderId="0" xfId="1" applyFont="1" applyAlignment="1">
      <alignment horizontal="left" vertical="top" wrapText="1"/>
    </xf>
    <xf numFmtId="0" fontId="1" fillId="6" borderId="0" xfId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3">
    <cellStyle name="20% - Accent1" xfId="1" builtinId="30"/>
    <cellStyle name="Hyperlink" xfId="2" builtinId="8"/>
    <cellStyle name="Normal" xfId="0" builtinId="0"/>
  </cellStyles>
  <dxfs count="44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E133B8"/>
        </patternFill>
      </fill>
    </dxf>
    <dxf>
      <fill>
        <patternFill>
          <bgColor rgb="FFCC99FF"/>
        </patternFill>
      </fill>
    </dxf>
    <dxf>
      <fill>
        <patternFill>
          <bgColor rgb="FF6FE7C8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rgb="FF876E13"/>
        </patternFill>
      </fill>
    </dxf>
    <dxf>
      <font>
        <color theme="0"/>
      </font>
      <fill>
        <patternFill>
          <bgColor rgb="FF0016E8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E133B8"/>
        </patternFill>
      </fill>
    </dxf>
    <dxf>
      <fill>
        <patternFill>
          <bgColor rgb="FFCC99FF"/>
        </patternFill>
      </fill>
    </dxf>
    <dxf>
      <fill>
        <patternFill>
          <bgColor rgb="FF6FE7C8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rgb="FF876E13"/>
        </patternFill>
      </fill>
    </dxf>
    <dxf>
      <font>
        <color theme="0"/>
      </font>
      <fill>
        <patternFill>
          <bgColor rgb="FF0016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uctinfo.se.com/jyt1078000_flexset_switchboards_ib/" TargetMode="External"/><Relationship Id="rId3" Type="http://schemas.openxmlformats.org/officeDocument/2006/relationships/hyperlink" Target="https://productinfo.se.com/jyt1078000_flexset_switchboards_ib/" TargetMode="External"/><Relationship Id="rId7" Type="http://schemas.openxmlformats.org/officeDocument/2006/relationships/hyperlink" Target="https://productinfo.se.com/jyt1078000_flexset-switchboards_ib/" TargetMode="External"/><Relationship Id="rId2" Type="http://schemas.openxmlformats.org/officeDocument/2006/relationships/hyperlink" Target="https://productinfo.se.com/jyt1078000_flexset_switchboards_ib/" TargetMode="External"/><Relationship Id="rId1" Type="http://schemas.openxmlformats.org/officeDocument/2006/relationships/hyperlink" Target="https://productinfo.se.com/jyt1078000_flexset_switchboards_ib/" TargetMode="External"/><Relationship Id="rId6" Type="http://schemas.openxmlformats.org/officeDocument/2006/relationships/hyperlink" Target="https://productinfo.se.com/jyt1078000_flexset_switchboards_ib/" TargetMode="External"/><Relationship Id="rId5" Type="http://schemas.openxmlformats.org/officeDocument/2006/relationships/hyperlink" Target="https://search.abb.com/library/Download.aspx?DocumentID=9AKK108466A1295" TargetMode="External"/><Relationship Id="rId4" Type="http://schemas.openxmlformats.org/officeDocument/2006/relationships/hyperlink" Target="https://search.abb.com/library/Download.aspx?DocumentID=9AKK108466A1295" TargetMode="External"/><Relationship Id="rId9" Type="http://schemas.openxmlformats.org/officeDocument/2006/relationships/hyperlink" Target="https://productinfo.se.com/jyt1078000_flexset_switchboards_i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Normal="100" workbookViewId="0">
      <pane ySplit="2" topLeftCell="A4" activePane="bottomLeft" state="frozen"/>
      <selection pane="bottomLeft" activeCell="A4" sqref="A4:M4"/>
    </sheetView>
  </sheetViews>
  <sheetFormatPr defaultColWidth="8.69140625" defaultRowHeight="14.6" x14ac:dyDescent="0.4"/>
  <cols>
    <col min="1" max="1" width="14" customWidth="1"/>
    <col min="2" max="2" width="16" customWidth="1"/>
    <col min="3" max="3" width="22" customWidth="1"/>
    <col min="4" max="6" width="38" customWidth="1"/>
    <col min="7" max="7" width="12" customWidth="1"/>
    <col min="8" max="8" width="13" customWidth="1"/>
    <col min="9" max="10" width="32" customWidth="1"/>
    <col min="11" max="11" width="18" customWidth="1"/>
    <col min="12" max="12" width="36" customWidth="1"/>
    <col min="13" max="13" width="30" customWidth="1"/>
    <col min="14" max="14" width="3" customWidth="1"/>
    <col min="15" max="15" width="30" customWidth="1"/>
    <col min="16" max="16" width="60" customWidth="1"/>
  </cols>
  <sheetData>
    <row r="1" spans="1:16" ht="25.5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 ht="30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8" t="s">
        <v>14</v>
      </c>
      <c r="P2" s="8"/>
    </row>
    <row r="3" spans="1:16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3" t="s">
        <v>15</v>
      </c>
      <c r="P3" s="3" t="s">
        <v>16</v>
      </c>
    </row>
    <row r="4" spans="1:16" ht="43.3" customHeight="1" x14ac:dyDescent="0.4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O4" s="5" t="s">
        <v>1</v>
      </c>
      <c r="P4" s="6" t="s">
        <v>17</v>
      </c>
    </row>
    <row r="5" spans="1:16" ht="25.75" x14ac:dyDescent="0.4">
      <c r="A5" s="10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O5" s="5" t="s">
        <v>2</v>
      </c>
      <c r="P5" s="6" t="s">
        <v>18</v>
      </c>
    </row>
    <row r="6" spans="1:16" s="17" customFormat="1" ht="102" x14ac:dyDescent="0.4">
      <c r="A6" s="15" t="s">
        <v>35</v>
      </c>
      <c r="B6" s="20" t="s">
        <v>96</v>
      </c>
      <c r="C6" s="11" t="s">
        <v>36</v>
      </c>
      <c r="D6" s="16" t="s">
        <v>97</v>
      </c>
      <c r="E6" s="11" t="s">
        <v>37</v>
      </c>
      <c r="F6" s="11" t="s">
        <v>99</v>
      </c>
      <c r="G6" s="11">
        <v>9</v>
      </c>
      <c r="H6" s="11">
        <v>5</v>
      </c>
      <c r="I6" s="11" t="s">
        <v>38</v>
      </c>
      <c r="J6" s="11" t="s">
        <v>102</v>
      </c>
      <c r="K6" s="11" t="s">
        <v>39</v>
      </c>
      <c r="L6" s="11" t="s">
        <v>40</v>
      </c>
      <c r="M6" s="12" t="s">
        <v>33</v>
      </c>
      <c r="O6" s="5" t="s">
        <v>3</v>
      </c>
      <c r="P6" s="6" t="s">
        <v>19</v>
      </c>
    </row>
    <row r="7" spans="1:16" s="17" customFormat="1" ht="102" x14ac:dyDescent="0.4">
      <c r="A7" s="18" t="s">
        <v>41</v>
      </c>
      <c r="B7" s="19" t="s">
        <v>96</v>
      </c>
      <c r="C7" s="13" t="s">
        <v>42</v>
      </c>
      <c r="D7" s="19" t="s">
        <v>100</v>
      </c>
      <c r="E7" s="13" t="s">
        <v>101</v>
      </c>
      <c r="F7" s="13" t="s">
        <v>43</v>
      </c>
      <c r="G7" s="13">
        <v>10</v>
      </c>
      <c r="H7" s="13">
        <v>4</v>
      </c>
      <c r="I7" s="13" t="s">
        <v>44</v>
      </c>
      <c r="J7" s="13" t="s">
        <v>45</v>
      </c>
      <c r="K7" s="13" t="s">
        <v>98</v>
      </c>
      <c r="L7" s="13" t="s">
        <v>40</v>
      </c>
      <c r="M7" s="14" t="s">
        <v>33</v>
      </c>
      <c r="O7" s="5" t="s">
        <v>20</v>
      </c>
      <c r="P7" s="6" t="s">
        <v>21</v>
      </c>
    </row>
    <row r="8" spans="1:16" s="17" customFormat="1" ht="102" x14ac:dyDescent="0.4">
      <c r="A8" s="15" t="s">
        <v>46</v>
      </c>
      <c r="B8" s="16" t="s">
        <v>32</v>
      </c>
      <c r="C8" s="16" t="s">
        <v>47</v>
      </c>
      <c r="D8" s="16" t="s">
        <v>48</v>
      </c>
      <c r="E8" s="16" t="s">
        <v>103</v>
      </c>
      <c r="F8" s="16" t="s">
        <v>104</v>
      </c>
      <c r="G8" s="16">
        <v>7</v>
      </c>
      <c r="H8" s="16">
        <v>4</v>
      </c>
      <c r="I8" s="16" t="s">
        <v>49</v>
      </c>
      <c r="J8" s="16" t="s">
        <v>50</v>
      </c>
      <c r="K8" s="16" t="s">
        <v>51</v>
      </c>
      <c r="L8" s="16" t="s">
        <v>40</v>
      </c>
      <c r="M8" s="16" t="s">
        <v>33</v>
      </c>
      <c r="O8" s="5" t="s">
        <v>22</v>
      </c>
      <c r="P8" s="6" t="s">
        <v>23</v>
      </c>
    </row>
    <row r="9" spans="1:16" s="17" customFormat="1" ht="86.15" customHeight="1" x14ac:dyDescent="0.4">
      <c r="A9" s="18" t="s">
        <v>52</v>
      </c>
      <c r="B9" s="19" t="s">
        <v>32</v>
      </c>
      <c r="C9" s="19" t="s">
        <v>53</v>
      </c>
      <c r="D9" s="19" t="s">
        <v>54</v>
      </c>
      <c r="E9" s="19" t="s">
        <v>55</v>
      </c>
      <c r="F9" s="19" t="s">
        <v>56</v>
      </c>
      <c r="G9" s="19">
        <v>10</v>
      </c>
      <c r="H9" s="19">
        <v>3</v>
      </c>
      <c r="I9" s="19" t="s">
        <v>57</v>
      </c>
      <c r="J9" s="19" t="s">
        <v>58</v>
      </c>
      <c r="K9" s="19" t="s">
        <v>31</v>
      </c>
      <c r="L9" s="19" t="s">
        <v>40</v>
      </c>
      <c r="M9" s="19" t="s">
        <v>33</v>
      </c>
      <c r="O9" s="5" t="s">
        <v>6</v>
      </c>
      <c r="P9" s="6" t="s">
        <v>24</v>
      </c>
    </row>
    <row r="10" spans="1:16" s="17" customFormat="1" ht="102" x14ac:dyDescent="0.4">
      <c r="A10" s="15" t="s">
        <v>59</v>
      </c>
      <c r="B10" s="16" t="s">
        <v>34</v>
      </c>
      <c r="C10" s="16" t="s">
        <v>60</v>
      </c>
      <c r="D10" s="16" t="s">
        <v>61</v>
      </c>
      <c r="E10" s="16" t="s">
        <v>62</v>
      </c>
      <c r="F10" s="16" t="s">
        <v>63</v>
      </c>
      <c r="G10" s="16">
        <v>7</v>
      </c>
      <c r="H10" s="16">
        <v>6</v>
      </c>
      <c r="I10" s="16" t="s">
        <v>64</v>
      </c>
      <c r="J10" s="16" t="s">
        <v>65</v>
      </c>
      <c r="K10" s="16" t="s">
        <v>39</v>
      </c>
      <c r="L10" s="16" t="s">
        <v>40</v>
      </c>
      <c r="M10" s="16" t="s">
        <v>66</v>
      </c>
      <c r="O10" s="5" t="s">
        <v>7</v>
      </c>
      <c r="P10" s="6" t="s">
        <v>25</v>
      </c>
    </row>
    <row r="11" spans="1:16" s="17" customFormat="1" ht="102" x14ac:dyDescent="0.4">
      <c r="A11" s="18" t="s">
        <v>67</v>
      </c>
      <c r="B11" s="19" t="s">
        <v>105</v>
      </c>
      <c r="C11" s="19" t="s">
        <v>68</v>
      </c>
      <c r="D11" s="19" t="s">
        <v>69</v>
      </c>
      <c r="E11" s="19" t="s">
        <v>70</v>
      </c>
      <c r="F11" s="19" t="s">
        <v>71</v>
      </c>
      <c r="G11" s="19">
        <v>7</v>
      </c>
      <c r="H11" s="19">
        <v>6</v>
      </c>
      <c r="I11" s="19" t="s">
        <v>72</v>
      </c>
      <c r="J11" s="19" t="s">
        <v>73</v>
      </c>
      <c r="K11" s="19" t="s">
        <v>111</v>
      </c>
      <c r="L11" s="19" t="s">
        <v>40</v>
      </c>
      <c r="M11" s="19" t="s">
        <v>33</v>
      </c>
      <c r="O11" s="5" t="s">
        <v>8</v>
      </c>
      <c r="P11" s="6" t="s">
        <v>26</v>
      </c>
    </row>
    <row r="12" spans="1:16" s="17" customFormat="1" ht="131.15" x14ac:dyDescent="0.4">
      <c r="A12" s="15" t="s">
        <v>74</v>
      </c>
      <c r="B12" s="16" t="s">
        <v>106</v>
      </c>
      <c r="C12" s="16" t="s">
        <v>75</v>
      </c>
      <c r="D12" s="16" t="s">
        <v>76</v>
      </c>
      <c r="E12" s="16" t="s">
        <v>77</v>
      </c>
      <c r="F12" s="16" t="s">
        <v>107</v>
      </c>
      <c r="G12" s="16">
        <v>8</v>
      </c>
      <c r="H12" s="16">
        <v>4</v>
      </c>
      <c r="I12" s="16" t="s">
        <v>78</v>
      </c>
      <c r="J12" s="16" t="s">
        <v>79</v>
      </c>
      <c r="K12" s="16" t="s">
        <v>39</v>
      </c>
      <c r="L12" s="16" t="s">
        <v>80</v>
      </c>
      <c r="M12" s="16" t="s">
        <v>30</v>
      </c>
      <c r="O12" s="5" t="s">
        <v>9</v>
      </c>
      <c r="P12" s="6" t="s">
        <v>27</v>
      </c>
    </row>
    <row r="13" spans="1:16" s="17" customFormat="1" ht="102" x14ac:dyDescent="0.4">
      <c r="A13" s="18" t="s">
        <v>81</v>
      </c>
      <c r="B13" s="19" t="s">
        <v>82</v>
      </c>
      <c r="C13" s="19" t="s">
        <v>83</v>
      </c>
      <c r="D13" s="19" t="s">
        <v>84</v>
      </c>
      <c r="E13" s="19" t="s">
        <v>85</v>
      </c>
      <c r="F13" s="19" t="s">
        <v>108</v>
      </c>
      <c r="G13" s="19">
        <v>8</v>
      </c>
      <c r="H13" s="19">
        <v>8</v>
      </c>
      <c r="I13" s="19" t="s">
        <v>86</v>
      </c>
      <c r="J13" s="19" t="s">
        <v>87</v>
      </c>
      <c r="K13" s="19" t="s">
        <v>88</v>
      </c>
      <c r="L13" s="19" t="s">
        <v>89</v>
      </c>
      <c r="M13" s="19" t="s">
        <v>30</v>
      </c>
      <c r="O13" s="5" t="s">
        <v>10</v>
      </c>
      <c r="P13" s="6" t="s">
        <v>28</v>
      </c>
    </row>
    <row r="14" spans="1:16" s="17" customFormat="1" ht="102" x14ac:dyDescent="0.4">
      <c r="A14" s="15" t="s">
        <v>90</v>
      </c>
      <c r="B14" s="16" t="s">
        <v>34</v>
      </c>
      <c r="C14" s="16" t="s">
        <v>91</v>
      </c>
      <c r="D14" s="16" t="s">
        <v>92</v>
      </c>
      <c r="E14" s="16" t="s">
        <v>93</v>
      </c>
      <c r="F14" s="16" t="s">
        <v>109</v>
      </c>
      <c r="G14" s="16">
        <v>10</v>
      </c>
      <c r="H14" s="16">
        <v>4</v>
      </c>
      <c r="I14" s="16" t="s">
        <v>94</v>
      </c>
      <c r="J14" s="16" t="s">
        <v>95</v>
      </c>
      <c r="K14" s="16" t="s">
        <v>110</v>
      </c>
      <c r="L14" s="16" t="s">
        <v>40</v>
      </c>
      <c r="M14" s="16" t="s">
        <v>33</v>
      </c>
      <c r="O14" s="5" t="s">
        <v>11</v>
      </c>
      <c r="P14" s="6" t="s">
        <v>29</v>
      </c>
    </row>
    <row r="15" spans="1:16" s="17" customFormat="1" x14ac:dyDescent="0.4">
      <c r="A15" s="18"/>
      <c r="B15" s="19"/>
      <c r="C15" s="13"/>
      <c r="D15" s="19"/>
      <c r="E15" s="13"/>
      <c r="F15" s="13"/>
      <c r="G15" s="13"/>
      <c r="H15" s="13"/>
      <c r="I15" s="13"/>
      <c r="J15" s="13"/>
      <c r="K15" s="13"/>
      <c r="L15" s="13"/>
      <c r="M15" s="14"/>
    </row>
    <row r="16" spans="1:16" s="17" customForma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</sheetData>
  <autoFilter ref="A2:M2" xr:uid="{00000000-0009-0000-0000-000000000000}"/>
  <mergeCells count="3">
    <mergeCell ref="A1:M1"/>
    <mergeCell ref="O2:P2"/>
    <mergeCell ref="A4:M4"/>
  </mergeCells>
  <conditionalFormatting sqref="A4:A5 A15">
    <cfRule type="beginsWith" dxfId="43" priority="28" operator="beginsWith" text="SAC-">
      <formula>LEFT(A4,LEN("SAC-"))="SAC-"</formula>
    </cfRule>
    <cfRule type="containsText" dxfId="42" priority="30" operator="containsText" text="Pip-">
      <formula>NOT(ISERROR(SEARCH("Pip-",A4)))</formula>
    </cfRule>
    <cfRule type="beginsWith" dxfId="41" priority="31" operator="beginsWith" text="HSE-">
      <formula>LEFT(A4,LEN("HSE-"))="HSE-"</formula>
    </cfRule>
    <cfRule type="beginsWith" dxfId="40" priority="32" operator="beginsWith" text="Chn-">
      <formula>LEFT(A4,LEN("Chn-"))="Chn-"</formula>
    </cfRule>
    <cfRule type="beginsWith" dxfId="39" priority="33" operator="beginsWith" text="BLT-">
      <formula>LEFT(A4,LEN("BLT-"))="BLT-"</formula>
    </cfRule>
    <cfRule type="beginsWith" dxfId="38" priority="34" operator="beginsWith" text="SFT-">
      <formula>LEFT(A4,LEN("SFT-"))="SFT-"</formula>
    </cfRule>
    <cfRule type="beginsWith" dxfId="37" priority="35" operator="beginsWith" text="SNS-">
      <formula>LEFT(A4,LEN("SNS-"))="SNS-"</formula>
    </cfRule>
    <cfRule type="beginsWith" dxfId="36" priority="36" operator="beginsWith" text="CPL-">
      <formula>LEFT(A4,LEN("CPL-"))="CPL-"</formula>
    </cfRule>
    <cfRule type="beginsWith" dxfId="35" priority="37" operator="beginsWith" text="HYD-">
      <formula>LEFT(A4,LEN("HYD-"))="HYD-"</formula>
    </cfRule>
    <cfRule type="beginsWith" dxfId="34" priority="38" operator="beginsWith" text="FLT-">
      <formula>LEFT(A4,LEN("FLT-"))="FLT-"</formula>
    </cfRule>
    <cfRule type="beginsWith" dxfId="33" priority="39" operator="beginsWith" text="CMP-">
      <formula>LEFT(A4,LEN("CMP-"))="CMP-"</formula>
    </cfRule>
    <cfRule type="beginsWith" dxfId="32" priority="40" operator="beginsWith" text="CPM-">
      <formula>LEFT(A4,LEN("CPM-"))="CPM-"</formula>
    </cfRule>
    <cfRule type="beginsWith" dxfId="31" priority="41" operator="beginsWith" text="GRR-">
      <formula>LEFT(A4,LEN("GRR-"))="GRR-"</formula>
    </cfRule>
    <cfRule type="beginsWith" dxfId="30" priority="42" operator="beginsWith" text="BRG-">
      <formula>LEFT(A4,LEN("BRG-"))="BRG-"</formula>
    </cfRule>
    <cfRule type="beginsWith" dxfId="29" priority="43" operator="beginsWith" text="VAL-">
      <formula>LEFT(A4,LEN("VAL-"))="VAL-"</formula>
    </cfRule>
    <cfRule type="beginsWith" dxfId="28" priority="44" operator="beginsWith" text="SPR-">
      <formula>LEFT(A4,LEN("SPR-"))="SPR-"</formula>
    </cfRule>
    <cfRule type="beginsWith" dxfId="27" priority="45" operator="beginsWith" text="DSE-">
      <formula>LEFT(A4,LEN("DSE-"))="DSE-"</formula>
    </cfRule>
    <cfRule type="beginsWith" dxfId="26" priority="46" operator="beginsWith" text="SSG-">
      <formula>LEFT(A4,LEN("SSG-"))="SSG-"</formula>
    </cfRule>
    <cfRule type="beginsWith" dxfId="25" priority="47" operator="beginsWith" text="CON-">
      <formula>LEFT(A4,LEN("CON-"))="CON-"</formula>
    </cfRule>
    <cfRule type="containsText" dxfId="24" priority="48" operator="containsText" text="MOT-">
      <formula>NOT(ISERROR(SEARCH("MOT-",A4)))</formula>
    </cfRule>
    <cfRule type="containsText" dxfId="23" priority="49" operator="containsText" text="SWB-">
      <formula>NOT(ISERROR(SEARCH("SWB-",A4)))</formula>
    </cfRule>
    <cfRule type="containsText" dxfId="22" priority="50" operator="containsText" text="GEN-">
      <formula>NOT(ISERROR(SEARCH("GEN-",A4)))</formula>
    </cfRule>
  </conditionalFormatting>
  <conditionalFormatting sqref="G4:G5 G15:H15">
    <cfRule type="colorScale" priority="52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4:H5">
    <cfRule type="colorScale" priority="51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4:H5">
    <cfRule type="colorScale" priority="29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A6:A14">
    <cfRule type="beginsWith" dxfId="21" priority="1" operator="beginsWith" text="SAC-">
      <formula>LEFT(A6,LEN("SAC-"))="SAC-"</formula>
    </cfRule>
    <cfRule type="containsText" dxfId="20" priority="3" operator="containsText" text="Pip-">
      <formula>NOT(ISERROR(SEARCH("Pip-",A6)))</formula>
    </cfRule>
    <cfRule type="beginsWith" dxfId="19" priority="4" operator="beginsWith" text="HSE-">
      <formula>LEFT(A6,LEN("HSE-"))="HSE-"</formula>
    </cfRule>
    <cfRule type="beginsWith" dxfId="18" priority="5" operator="beginsWith" text="Chn-">
      <formula>LEFT(A6,LEN("Chn-"))="Chn-"</formula>
    </cfRule>
    <cfRule type="beginsWith" dxfId="17" priority="6" operator="beginsWith" text="BLT-">
      <formula>LEFT(A6,LEN("BLT-"))="BLT-"</formula>
    </cfRule>
    <cfRule type="beginsWith" dxfId="16" priority="7" operator="beginsWith" text="SFT-">
      <formula>LEFT(A6,LEN("SFT-"))="SFT-"</formula>
    </cfRule>
    <cfRule type="beginsWith" dxfId="15" priority="8" operator="beginsWith" text="SNS-">
      <formula>LEFT(A6,LEN("SNS-"))="SNS-"</formula>
    </cfRule>
    <cfRule type="beginsWith" dxfId="14" priority="9" operator="beginsWith" text="CPL-">
      <formula>LEFT(A6,LEN("CPL-"))="CPL-"</formula>
    </cfRule>
    <cfRule type="beginsWith" dxfId="13" priority="10" operator="beginsWith" text="HYD-">
      <formula>LEFT(A6,LEN("HYD-"))="HYD-"</formula>
    </cfRule>
    <cfRule type="beginsWith" dxfId="12" priority="11" operator="beginsWith" text="FLT-">
      <formula>LEFT(A6,LEN("FLT-"))="FLT-"</formula>
    </cfRule>
    <cfRule type="beginsWith" dxfId="11" priority="12" operator="beginsWith" text="CMP-">
      <formula>LEFT(A6,LEN("CMP-"))="CMP-"</formula>
    </cfRule>
    <cfRule type="beginsWith" dxfId="10" priority="13" operator="beginsWith" text="CPM-">
      <formula>LEFT(A6,LEN("CPM-"))="CPM-"</formula>
    </cfRule>
    <cfRule type="beginsWith" dxfId="9" priority="14" operator="beginsWith" text="GRR-">
      <formula>LEFT(A6,LEN("GRR-"))="GRR-"</formula>
    </cfRule>
    <cfRule type="beginsWith" dxfId="8" priority="17" operator="beginsWith" text="BRG-">
      <formula>LEFT(A6,LEN("BRG-"))="BRG-"</formula>
    </cfRule>
    <cfRule type="beginsWith" dxfId="7" priority="18" operator="beginsWith" text="VAL-">
      <formula>LEFT(A6,LEN("VAL-"))="VAL-"</formula>
    </cfRule>
    <cfRule type="beginsWith" dxfId="6" priority="19" operator="beginsWith" text="SPR-">
      <formula>LEFT(A6,LEN("SPR-"))="SPR-"</formula>
    </cfRule>
    <cfRule type="beginsWith" dxfId="5" priority="20" operator="beginsWith" text="DSE-">
      <formula>LEFT(A6,LEN("DSE-"))="DSE-"</formula>
    </cfRule>
    <cfRule type="beginsWith" dxfId="4" priority="21" operator="beginsWith" text="SSG-">
      <formula>LEFT(A6,LEN("SSG-"))="SSG-"</formula>
    </cfRule>
    <cfRule type="beginsWith" dxfId="3" priority="22" operator="beginsWith" text="CON-">
      <formula>LEFT(A6,LEN("CON-"))="CON-"</formula>
    </cfRule>
    <cfRule type="containsText" dxfId="2" priority="23" operator="containsText" text="MOT-">
      <formula>NOT(ISERROR(SEARCH("MOT-",A6)))</formula>
    </cfRule>
    <cfRule type="containsText" dxfId="1" priority="24" operator="containsText" text="SWB-">
      <formula>NOT(ISERROR(SEARCH("SWB-",A6)))</formula>
    </cfRule>
    <cfRule type="containsText" dxfId="0" priority="25" operator="containsText" text="GEN-">
      <formula>NOT(ISERROR(SEARCH("GEN-",A6)))</formula>
    </cfRule>
  </conditionalFormatting>
  <conditionalFormatting sqref="F8:F14">
    <cfRule type="colorScale" priority="16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G6:G7">
    <cfRule type="colorScale" priority="27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G8:G14">
    <cfRule type="colorScale" priority="15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6:H7">
    <cfRule type="colorScale" priority="26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6:H14">
    <cfRule type="colorScale" priority="2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dataValidations count="1">
    <dataValidation type="whole" allowBlank="1" errorTitle="Invalid score" error="Enter a whole number between 1 and 10." sqref="G16:H49 J15:K15" xr:uid="{00000000-0002-0000-0000-000000000000}">
      <formula1>1</formula1>
      <formula2>10</formula2>
    </dataValidation>
  </dataValidations>
  <hyperlinks>
    <hyperlink ref="M7" r:id="rId1" xr:uid="{1167F5CB-6A4E-4D85-AF44-E1EF984D7E73}"/>
    <hyperlink ref="M8" r:id="rId2" xr:uid="{319E4C34-9AFA-4484-A595-54162B01603E}"/>
    <hyperlink ref="M6" r:id="rId3" xr:uid="{0A3DCE47-AA25-479B-8925-95D847B0D78D}"/>
    <hyperlink ref="M12" r:id="rId4" xr:uid="{84FC964D-13FE-409E-8883-A2C8B67214F1}"/>
    <hyperlink ref="M13" r:id="rId5" xr:uid="{325CED38-F851-4A55-A277-7CEE6E6E6E64}"/>
    <hyperlink ref="M9" r:id="rId6" xr:uid="{2405767A-2D54-4EE7-BB90-0D5E22D8E044}"/>
    <hyperlink ref="M10" r:id="rId7" xr:uid="{A6281120-903B-4C09-B3F2-0272713BFF6E}"/>
    <hyperlink ref="M11" r:id="rId8" xr:uid="{631D31B1-9358-46D3-B23A-A1D4C706E95F}"/>
    <hyperlink ref="M14" r:id="rId9" xr:uid="{22815CCB-8770-4590-955B-A8BB4EB95596}"/>
  </hyperlink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2CFFB-AE14-47C8-A405-889AE4FFC71B}"/>
</file>

<file path=customXml/itemProps2.xml><?xml version="1.0" encoding="utf-8"?>
<ds:datastoreItem xmlns:ds="http://schemas.openxmlformats.org/officeDocument/2006/customXml" ds:itemID="{F941E50B-861A-4C0D-A448-2F0866E61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32B31A-94D8-47FC-9226-429FF43A5B14}">
  <ds:schemaRefs>
    <ds:schemaRef ds:uri="http://schemas.microsoft.com/office/2006/metadata/properties"/>
    <ds:schemaRef ds:uri="http://schemas.microsoft.com/office/infopath/2007/PartnerControls"/>
    <ds:schemaRef ds:uri="d72dafea-079e-4f13-8c31-726b68bf6a28"/>
    <ds:schemaRef ds:uri="476fff79-cca5-4bf5-bfa1-08e490f83e28"/>
  </ds:schemaRefs>
</ds:datastoreItem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 Taxonomy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Morelos, Joseph</cp:lastModifiedBy>
  <cp:revision>0</cp:revision>
  <dcterms:created xsi:type="dcterms:W3CDTF">2026-06-29T16:15:43Z</dcterms:created>
  <dcterms:modified xsi:type="dcterms:W3CDTF">2026-09-03T21:30:11Z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